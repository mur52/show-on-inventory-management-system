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C-PC\Documents\OneDrive\Desktop\"/>
    </mc:Choice>
  </mc:AlternateContent>
  <xr:revisionPtr revIDLastSave="0" documentId="13_ncr:1_{BE77C1AC-67BD-4449-A181-2182D3E74112}" xr6:coauthVersionLast="47" xr6:coauthVersionMax="47" xr10:uidLastSave="{00000000-0000-0000-0000-000000000000}"/>
  <bookViews>
    <workbookView xWindow="-110" yWindow="-110" windowWidth="19420" windowHeight="10300" tabRatio="675" xr2:uid="{00000000-000D-0000-FFFF-FFFF00000000}"/>
  </bookViews>
  <sheets>
    <sheet name="DashBoard" sheetId="8" r:id="rId1"/>
    <sheet name="Purchase" sheetId="2" r:id="rId2"/>
    <sheet name="Inventory" sheetId="1" r:id="rId3"/>
    <sheet name="Sales" sheetId="3" r:id="rId4"/>
    <sheet name="Operating Expenses" sheetId="4" r:id="rId5"/>
    <sheet name="Customer Summary" sheetId="5" r:id="rId6"/>
    <sheet name="CodeKe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3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F3" i="1"/>
  <c r="L3" i="3" s="1"/>
  <c r="F4" i="1"/>
  <c r="F5" i="1"/>
  <c r="F6" i="1"/>
  <c r="G6" i="1" s="1"/>
  <c r="F7" i="1"/>
  <c r="F8" i="1"/>
  <c r="F9" i="1"/>
  <c r="G9" i="1" s="1"/>
  <c r="F10" i="1"/>
  <c r="G10" i="1" s="1"/>
  <c r="F11" i="1"/>
  <c r="G5" i="1"/>
  <c r="I5" i="1"/>
  <c r="J5" i="1" s="1"/>
  <c r="F2" i="1"/>
  <c r="L2" i="3" s="1"/>
  <c r="E7" i="2"/>
  <c r="E3" i="2"/>
  <c r="G12" i="1"/>
  <c r="I3" i="1"/>
  <c r="J3" i="1" s="1"/>
  <c r="I4" i="1"/>
  <c r="J4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K12" i="1" s="1"/>
  <c r="I13" i="1"/>
  <c r="J13" i="1" s="1"/>
  <c r="I14" i="1"/>
  <c r="J14" i="1" s="1"/>
  <c r="I15" i="1"/>
  <c r="J15" i="1" s="1"/>
  <c r="I16" i="1"/>
  <c r="J16" i="1" s="1"/>
  <c r="I2" i="1"/>
  <c r="J2" i="1" s="1"/>
  <c r="G11" i="1"/>
  <c r="F14" i="8"/>
  <c r="C14" i="8"/>
  <c r="O7" i="8"/>
  <c r="E2" i="5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" i="3"/>
  <c r="F2" i="5" s="1"/>
  <c r="G3" i="3"/>
  <c r="F16" i="1"/>
  <c r="G16" i="1" s="1"/>
  <c r="F15" i="1"/>
  <c r="G15" i="1" s="1"/>
  <c r="F14" i="1"/>
  <c r="G14" i="1" s="1"/>
  <c r="F13" i="1"/>
  <c r="G13" i="1" s="1"/>
  <c r="G8" i="1"/>
  <c r="G7" i="1"/>
  <c r="G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4" i="2"/>
  <c r="E5" i="2"/>
  <c r="E6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I2" i="2"/>
  <c r="E2" i="2"/>
  <c r="C2" i="1"/>
  <c r="G2" i="1" l="1"/>
  <c r="G3" i="1"/>
  <c r="C7" i="8"/>
  <c r="K16" i="1"/>
  <c r="K15" i="1"/>
  <c r="K14" i="1"/>
  <c r="K13" i="1"/>
  <c r="K5" i="1"/>
  <c r="K6" i="1"/>
  <c r="K11" i="1"/>
  <c r="K3" i="1"/>
  <c r="K4" i="1"/>
  <c r="K7" i="1"/>
  <c r="K8" i="1"/>
  <c r="K9" i="1"/>
  <c r="K10" i="1"/>
  <c r="L6" i="3"/>
  <c r="M6" i="3" s="1"/>
  <c r="L201" i="3"/>
  <c r="M201" i="3" s="1"/>
  <c r="L185" i="3"/>
  <c r="M185" i="3" s="1"/>
  <c r="L169" i="3"/>
  <c r="M169" i="3" s="1"/>
  <c r="L153" i="3"/>
  <c r="M153" i="3" s="1"/>
  <c r="L137" i="3"/>
  <c r="M137" i="3" s="1"/>
  <c r="L121" i="3"/>
  <c r="M121" i="3" s="1"/>
  <c r="L105" i="3"/>
  <c r="M105" i="3" s="1"/>
  <c r="L97" i="3"/>
  <c r="M97" i="3" s="1"/>
  <c r="L81" i="3"/>
  <c r="M81" i="3" s="1"/>
  <c r="L73" i="3"/>
  <c r="M73" i="3" s="1"/>
  <c r="L65" i="3"/>
  <c r="M65" i="3" s="1"/>
  <c r="L57" i="3"/>
  <c r="M57" i="3" s="1"/>
  <c r="L49" i="3"/>
  <c r="M49" i="3" s="1"/>
  <c r="L41" i="3"/>
  <c r="M41" i="3" s="1"/>
  <c r="L33" i="3"/>
  <c r="M33" i="3" s="1"/>
  <c r="L19" i="3"/>
  <c r="M19" i="3" s="1"/>
  <c r="L193" i="3"/>
  <c r="M193" i="3" s="1"/>
  <c r="L177" i="3"/>
  <c r="M177" i="3" s="1"/>
  <c r="L161" i="3"/>
  <c r="M161" i="3" s="1"/>
  <c r="L145" i="3"/>
  <c r="M145" i="3" s="1"/>
  <c r="L129" i="3"/>
  <c r="M129" i="3" s="1"/>
  <c r="L113" i="3"/>
  <c r="M113" i="3" s="1"/>
  <c r="L89" i="3"/>
  <c r="M89" i="3" s="1"/>
  <c r="L11" i="3"/>
  <c r="M11" i="3" s="1"/>
  <c r="L200" i="3"/>
  <c r="M200" i="3" s="1"/>
  <c r="L192" i="3"/>
  <c r="M192" i="3" s="1"/>
  <c r="L184" i="3"/>
  <c r="M184" i="3" s="1"/>
  <c r="L176" i="3"/>
  <c r="M176" i="3" s="1"/>
  <c r="L168" i="3"/>
  <c r="M168" i="3" s="1"/>
  <c r="L160" i="3"/>
  <c r="M160" i="3" s="1"/>
  <c r="L152" i="3"/>
  <c r="M152" i="3" s="1"/>
  <c r="L144" i="3"/>
  <c r="M144" i="3" s="1"/>
  <c r="L136" i="3"/>
  <c r="M136" i="3" s="1"/>
  <c r="L128" i="3"/>
  <c r="M128" i="3" s="1"/>
  <c r="L120" i="3"/>
  <c r="M120" i="3" s="1"/>
  <c r="L112" i="3"/>
  <c r="M112" i="3" s="1"/>
  <c r="L104" i="3"/>
  <c r="M104" i="3" s="1"/>
  <c r="L96" i="3"/>
  <c r="M96" i="3" s="1"/>
  <c r="L88" i="3"/>
  <c r="M88" i="3" s="1"/>
  <c r="L80" i="3"/>
  <c r="M80" i="3" s="1"/>
  <c r="L72" i="3"/>
  <c r="M72" i="3" s="1"/>
  <c r="L64" i="3"/>
  <c r="M64" i="3" s="1"/>
  <c r="L56" i="3"/>
  <c r="M56" i="3" s="1"/>
  <c r="L48" i="3"/>
  <c r="M48" i="3" s="1"/>
  <c r="L40" i="3"/>
  <c r="M40" i="3" s="1"/>
  <c r="L199" i="3"/>
  <c r="M199" i="3" s="1"/>
  <c r="L175" i="3"/>
  <c r="M175" i="3" s="1"/>
  <c r="L143" i="3"/>
  <c r="M143" i="3" s="1"/>
  <c r="L103" i="3"/>
  <c r="M103" i="3" s="1"/>
  <c r="L71" i="3"/>
  <c r="M71" i="3" s="1"/>
  <c r="L55" i="3"/>
  <c r="M55" i="3" s="1"/>
  <c r="L198" i="3"/>
  <c r="M198" i="3" s="1"/>
  <c r="L190" i="3"/>
  <c r="M190" i="3" s="1"/>
  <c r="L182" i="3"/>
  <c r="M182" i="3" s="1"/>
  <c r="L174" i="3"/>
  <c r="M174" i="3" s="1"/>
  <c r="L166" i="3"/>
  <c r="M166" i="3" s="1"/>
  <c r="L158" i="3"/>
  <c r="M158" i="3" s="1"/>
  <c r="L150" i="3"/>
  <c r="M150" i="3" s="1"/>
  <c r="L142" i="3"/>
  <c r="M142" i="3" s="1"/>
  <c r="L134" i="3"/>
  <c r="M134" i="3" s="1"/>
  <c r="L126" i="3"/>
  <c r="M126" i="3" s="1"/>
  <c r="L118" i="3"/>
  <c r="M118" i="3" s="1"/>
  <c r="L110" i="3"/>
  <c r="M110" i="3" s="1"/>
  <c r="L102" i="3"/>
  <c r="M102" i="3" s="1"/>
  <c r="L94" i="3"/>
  <c r="M94" i="3" s="1"/>
  <c r="L86" i="3"/>
  <c r="M86" i="3" s="1"/>
  <c r="L78" i="3"/>
  <c r="M78" i="3" s="1"/>
  <c r="L70" i="3"/>
  <c r="M70" i="3" s="1"/>
  <c r="L62" i="3"/>
  <c r="M62" i="3" s="1"/>
  <c r="L54" i="3"/>
  <c r="M54" i="3" s="1"/>
  <c r="L46" i="3"/>
  <c r="M46" i="3" s="1"/>
  <c r="L38" i="3"/>
  <c r="M38" i="3" s="1"/>
  <c r="L191" i="3"/>
  <c r="M191" i="3" s="1"/>
  <c r="L159" i="3"/>
  <c r="M159" i="3" s="1"/>
  <c r="L127" i="3"/>
  <c r="M127" i="3" s="1"/>
  <c r="L95" i="3"/>
  <c r="M95" i="3" s="1"/>
  <c r="L47" i="3"/>
  <c r="M47" i="3" s="1"/>
  <c r="L197" i="3"/>
  <c r="M197" i="3" s="1"/>
  <c r="L189" i="3"/>
  <c r="M189" i="3" s="1"/>
  <c r="L181" i="3"/>
  <c r="M181" i="3" s="1"/>
  <c r="L173" i="3"/>
  <c r="M173" i="3" s="1"/>
  <c r="L165" i="3"/>
  <c r="M165" i="3" s="1"/>
  <c r="L157" i="3"/>
  <c r="M157" i="3" s="1"/>
  <c r="L149" i="3"/>
  <c r="M149" i="3" s="1"/>
  <c r="L141" i="3"/>
  <c r="M141" i="3" s="1"/>
  <c r="L133" i="3"/>
  <c r="M133" i="3" s="1"/>
  <c r="L125" i="3"/>
  <c r="M125" i="3" s="1"/>
  <c r="L117" i="3"/>
  <c r="M117" i="3" s="1"/>
  <c r="L109" i="3"/>
  <c r="M109" i="3" s="1"/>
  <c r="L101" i="3"/>
  <c r="M101" i="3" s="1"/>
  <c r="L93" i="3"/>
  <c r="M93" i="3" s="1"/>
  <c r="L85" i="3"/>
  <c r="M85" i="3" s="1"/>
  <c r="L77" i="3"/>
  <c r="M77" i="3" s="1"/>
  <c r="L69" i="3"/>
  <c r="M69" i="3" s="1"/>
  <c r="L61" i="3"/>
  <c r="M61" i="3" s="1"/>
  <c r="L53" i="3"/>
  <c r="M53" i="3" s="1"/>
  <c r="L45" i="3"/>
  <c r="M45" i="3" s="1"/>
  <c r="L37" i="3"/>
  <c r="M37" i="3" s="1"/>
  <c r="L183" i="3"/>
  <c r="M183" i="3" s="1"/>
  <c r="L151" i="3"/>
  <c r="M151" i="3" s="1"/>
  <c r="L119" i="3"/>
  <c r="M119" i="3" s="1"/>
  <c r="L87" i="3"/>
  <c r="M87" i="3" s="1"/>
  <c r="L63" i="3"/>
  <c r="M63" i="3" s="1"/>
  <c r="L196" i="3"/>
  <c r="M196" i="3" s="1"/>
  <c r="L188" i="3"/>
  <c r="M188" i="3" s="1"/>
  <c r="L180" i="3"/>
  <c r="M180" i="3" s="1"/>
  <c r="L172" i="3"/>
  <c r="M172" i="3" s="1"/>
  <c r="L164" i="3"/>
  <c r="M164" i="3" s="1"/>
  <c r="L156" i="3"/>
  <c r="M156" i="3" s="1"/>
  <c r="L148" i="3"/>
  <c r="M148" i="3" s="1"/>
  <c r="L140" i="3"/>
  <c r="M140" i="3" s="1"/>
  <c r="L132" i="3"/>
  <c r="M132" i="3" s="1"/>
  <c r="L124" i="3"/>
  <c r="M124" i="3" s="1"/>
  <c r="L116" i="3"/>
  <c r="M116" i="3" s="1"/>
  <c r="L108" i="3"/>
  <c r="M108" i="3" s="1"/>
  <c r="L100" i="3"/>
  <c r="M100" i="3" s="1"/>
  <c r="L92" i="3"/>
  <c r="M92" i="3" s="1"/>
  <c r="L84" i="3"/>
  <c r="M84" i="3" s="1"/>
  <c r="L76" i="3"/>
  <c r="M76" i="3" s="1"/>
  <c r="L68" i="3"/>
  <c r="M68" i="3" s="1"/>
  <c r="L60" i="3"/>
  <c r="M60" i="3" s="1"/>
  <c r="L52" i="3"/>
  <c r="M52" i="3" s="1"/>
  <c r="L44" i="3"/>
  <c r="M44" i="3" s="1"/>
  <c r="L36" i="3"/>
  <c r="M36" i="3" s="1"/>
  <c r="L195" i="3"/>
  <c r="M195" i="3" s="1"/>
  <c r="L187" i="3"/>
  <c r="M187" i="3" s="1"/>
  <c r="L179" i="3"/>
  <c r="M179" i="3" s="1"/>
  <c r="L171" i="3"/>
  <c r="M171" i="3" s="1"/>
  <c r="L163" i="3"/>
  <c r="M163" i="3" s="1"/>
  <c r="L155" i="3"/>
  <c r="M155" i="3" s="1"/>
  <c r="L147" i="3"/>
  <c r="M147" i="3" s="1"/>
  <c r="L139" i="3"/>
  <c r="M139" i="3" s="1"/>
  <c r="L131" i="3"/>
  <c r="M131" i="3" s="1"/>
  <c r="L123" i="3"/>
  <c r="M123" i="3" s="1"/>
  <c r="L115" i="3"/>
  <c r="M115" i="3" s="1"/>
  <c r="L107" i="3"/>
  <c r="M107" i="3" s="1"/>
  <c r="L99" i="3"/>
  <c r="M99" i="3" s="1"/>
  <c r="L91" i="3"/>
  <c r="M91" i="3" s="1"/>
  <c r="L83" i="3"/>
  <c r="M83" i="3" s="1"/>
  <c r="L75" i="3"/>
  <c r="M75" i="3" s="1"/>
  <c r="L67" i="3"/>
  <c r="M67" i="3" s="1"/>
  <c r="L59" i="3"/>
  <c r="M59" i="3" s="1"/>
  <c r="L51" i="3"/>
  <c r="M51" i="3" s="1"/>
  <c r="L43" i="3"/>
  <c r="M43" i="3" s="1"/>
  <c r="L35" i="3"/>
  <c r="M35" i="3" s="1"/>
  <c r="L167" i="3"/>
  <c r="M167" i="3" s="1"/>
  <c r="L135" i="3"/>
  <c r="M135" i="3" s="1"/>
  <c r="L111" i="3"/>
  <c r="M111" i="3" s="1"/>
  <c r="L79" i="3"/>
  <c r="M79" i="3" s="1"/>
  <c r="L39" i="3"/>
  <c r="M39" i="3" s="1"/>
  <c r="L27" i="3"/>
  <c r="M27" i="3" s="1"/>
  <c r="L194" i="3"/>
  <c r="M194" i="3" s="1"/>
  <c r="L186" i="3"/>
  <c r="M186" i="3" s="1"/>
  <c r="L178" i="3"/>
  <c r="M178" i="3" s="1"/>
  <c r="L170" i="3"/>
  <c r="M170" i="3" s="1"/>
  <c r="L162" i="3"/>
  <c r="M162" i="3" s="1"/>
  <c r="L154" i="3"/>
  <c r="M154" i="3" s="1"/>
  <c r="L146" i="3"/>
  <c r="M146" i="3" s="1"/>
  <c r="L138" i="3"/>
  <c r="M138" i="3" s="1"/>
  <c r="L130" i="3"/>
  <c r="M130" i="3" s="1"/>
  <c r="L122" i="3"/>
  <c r="M122" i="3" s="1"/>
  <c r="L114" i="3"/>
  <c r="M114" i="3" s="1"/>
  <c r="L106" i="3"/>
  <c r="M106" i="3" s="1"/>
  <c r="L98" i="3"/>
  <c r="M98" i="3" s="1"/>
  <c r="L90" i="3"/>
  <c r="M90" i="3" s="1"/>
  <c r="L82" i="3"/>
  <c r="M82" i="3" s="1"/>
  <c r="L74" i="3"/>
  <c r="M74" i="3" s="1"/>
  <c r="L66" i="3"/>
  <c r="M66" i="3" s="1"/>
  <c r="L58" i="3"/>
  <c r="M58" i="3" s="1"/>
  <c r="L50" i="3"/>
  <c r="M50" i="3" s="1"/>
  <c r="L42" i="3"/>
  <c r="M42" i="3" s="1"/>
  <c r="L34" i="3"/>
  <c r="M34" i="3" s="1"/>
  <c r="M3" i="3"/>
  <c r="K2" i="1"/>
  <c r="I14" i="8"/>
  <c r="F7" i="8"/>
  <c r="M2" i="3"/>
  <c r="L26" i="3"/>
  <c r="M26" i="3" s="1"/>
  <c r="L18" i="3"/>
  <c r="M18" i="3" s="1"/>
  <c r="L10" i="3"/>
  <c r="M10" i="3" s="1"/>
  <c r="L25" i="3"/>
  <c r="M25" i="3" s="1"/>
  <c r="L17" i="3"/>
  <c r="M17" i="3" s="1"/>
  <c r="L9" i="3"/>
  <c r="M9" i="3" s="1"/>
  <c r="L32" i="3"/>
  <c r="M32" i="3" s="1"/>
  <c r="L24" i="3"/>
  <c r="M24" i="3" s="1"/>
  <c r="L16" i="3"/>
  <c r="M16" i="3" s="1"/>
  <c r="L8" i="3"/>
  <c r="M8" i="3" s="1"/>
  <c r="L31" i="3"/>
  <c r="M31" i="3" s="1"/>
  <c r="L23" i="3"/>
  <c r="M23" i="3" s="1"/>
  <c r="L15" i="3"/>
  <c r="M15" i="3" s="1"/>
  <c r="L22" i="3"/>
  <c r="M22" i="3" s="1"/>
  <c r="L5" i="3"/>
  <c r="M5" i="3" s="1"/>
  <c r="L29" i="3"/>
  <c r="M29" i="3" s="1"/>
  <c r="L21" i="3"/>
  <c r="M21" i="3" s="1"/>
  <c r="L13" i="3"/>
  <c r="M13" i="3" s="1"/>
  <c r="L4" i="3"/>
  <c r="M4" i="3" s="1"/>
  <c r="L30" i="3"/>
  <c r="M30" i="3" s="1"/>
  <c r="L14" i="3"/>
  <c r="M14" i="3" s="1"/>
  <c r="L28" i="3"/>
  <c r="M28" i="3" s="1"/>
  <c r="L20" i="3"/>
  <c r="M20" i="3" s="1"/>
  <c r="L12" i="3"/>
  <c r="M12" i="3" s="1"/>
  <c r="L7" i="3"/>
  <c r="M7" i="3" s="1"/>
  <c r="M14" i="8" l="1"/>
  <c r="I7" i="8"/>
  <c r="L7" i="8" l="1"/>
  <c r="S7" i="8" s="1"/>
</calcChain>
</file>

<file path=xl/sharedStrings.xml><?xml version="1.0" encoding="utf-8"?>
<sst xmlns="http://schemas.openxmlformats.org/spreadsheetml/2006/main" count="312" uniqueCount="295">
  <si>
    <t>Product ID</t>
  </si>
  <si>
    <t>Product Name</t>
  </si>
  <si>
    <t>Cost Code</t>
  </si>
  <si>
    <t>Cost Price</t>
  </si>
  <si>
    <t>Selling Price</t>
  </si>
  <si>
    <t>Opening Stock</t>
  </si>
  <si>
    <t>Date</t>
  </si>
  <si>
    <t>Purchase Invoice No</t>
  </si>
  <si>
    <t>Quantity Purchased</t>
  </si>
  <si>
    <t>Unit Cost</t>
  </si>
  <si>
    <t>Total Purchase Cost</t>
  </si>
  <si>
    <t>01/07/2026</t>
  </si>
  <si>
    <t>PUR001</t>
  </si>
  <si>
    <t>Sales Invoice No</t>
  </si>
  <si>
    <t>Customer Name</t>
  </si>
  <si>
    <t>Phone Number</t>
  </si>
  <si>
    <t>Quantity Sold</t>
  </si>
  <si>
    <t>Revenue</t>
  </si>
  <si>
    <t>Cost of Goods Sold</t>
  </si>
  <si>
    <t>Gross Profit</t>
  </si>
  <si>
    <t>INV001</t>
  </si>
  <si>
    <t>Rahim</t>
  </si>
  <si>
    <t>017XXXXXXXX</t>
  </si>
  <si>
    <t>Expense Category</t>
  </si>
  <si>
    <t>Description</t>
  </si>
  <si>
    <t>Amount</t>
  </si>
  <si>
    <t>Number of Purchases</t>
  </si>
  <si>
    <t>Total Revenue Generated</t>
  </si>
  <si>
    <t>Letter</t>
  </si>
  <si>
    <t>Number</t>
  </si>
  <si>
    <t>R</t>
  </si>
  <si>
    <t>S</t>
  </si>
  <si>
    <t>G</t>
  </si>
  <si>
    <t>H</t>
  </si>
  <si>
    <t>I</t>
  </si>
  <si>
    <t>J</t>
  </si>
  <si>
    <t>K</t>
  </si>
  <si>
    <t>M</t>
  </si>
  <si>
    <t>N</t>
  </si>
  <si>
    <t>Shirt</t>
  </si>
  <si>
    <t>T-Shirt</t>
  </si>
  <si>
    <t>Baggy Pant</t>
  </si>
  <si>
    <t>Polo T-Shirt</t>
  </si>
  <si>
    <t>Gabading Pant</t>
  </si>
  <si>
    <t>Jeans Pant</t>
  </si>
  <si>
    <t>Drop Shoulder</t>
  </si>
  <si>
    <t>Panjabi</t>
  </si>
  <si>
    <t>Jersey</t>
  </si>
  <si>
    <t>Others</t>
  </si>
  <si>
    <t>Prodcuts</t>
  </si>
  <si>
    <t>SH001</t>
  </si>
  <si>
    <t>OT001</t>
  </si>
  <si>
    <t>DS001</t>
  </si>
  <si>
    <t>BP001</t>
  </si>
  <si>
    <t>GP001</t>
  </si>
  <si>
    <t>JP001</t>
  </si>
  <si>
    <t>PJ001</t>
  </si>
  <si>
    <t>JR001</t>
  </si>
  <si>
    <t>TS001</t>
  </si>
  <si>
    <t>PS001</t>
  </si>
  <si>
    <t>PUR002</t>
  </si>
  <si>
    <t>PUR003</t>
  </si>
  <si>
    <t>PUR004</t>
  </si>
  <si>
    <t>PUR005</t>
  </si>
  <si>
    <t>PUR006</t>
  </si>
  <si>
    <t>PUR007</t>
  </si>
  <si>
    <t>PUR008</t>
  </si>
  <si>
    <t>PUR009</t>
  </si>
  <si>
    <t>PUR010</t>
  </si>
  <si>
    <t>PUR011</t>
  </si>
  <si>
    <t>PUR012</t>
  </si>
  <si>
    <t>PUR013</t>
  </si>
  <si>
    <t>PUR014</t>
  </si>
  <si>
    <t>PUR015</t>
  </si>
  <si>
    <t>PUR016</t>
  </si>
  <si>
    <t>PUR017</t>
  </si>
  <si>
    <t>PUR018</t>
  </si>
  <si>
    <t>PUR019</t>
  </si>
  <si>
    <t>PUR020</t>
  </si>
  <si>
    <t>PUR021</t>
  </si>
  <si>
    <t>PUR022</t>
  </si>
  <si>
    <t>PUR023</t>
  </si>
  <si>
    <t>PUR024</t>
  </si>
  <si>
    <t>PUR025</t>
  </si>
  <si>
    <t>PUR026</t>
  </si>
  <si>
    <t>PUR027</t>
  </si>
  <si>
    <t>PUR028</t>
  </si>
  <si>
    <t>PUR029</t>
  </si>
  <si>
    <t>PUR030</t>
  </si>
  <si>
    <t>PUR031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</si>
  <si>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</si>
  <si>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</si>
  <si>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</si>
  <si>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</si>
  <si>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</si>
  <si>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</si>
  <si>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</si>
  <si>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</si>
  <si>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</si>
  <si>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</si>
  <si>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</si>
  <si>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</si>
  <si>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</si>
  <si>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</si>
  <si>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</si>
  <si>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</si>
  <si>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</si>
  <si>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</si>
  <si>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</si>
  <si>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</si>
  <si>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</si>
  <si>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</si>
  <si>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</si>
  <si>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</si>
  <si>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</si>
  <si>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</si>
  <si>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</si>
  <si>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</si>
  <si>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</si>
  <si>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</si>
  <si>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</si>
  <si>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</si>
  <si>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</si>
  <si>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</si>
  <si>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</si>
  <si>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</si>
  <si>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</si>
  <si>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</si>
  <si>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</si>
  <si>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</si>
  <si>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</si>
  <si>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</si>
  <si>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</si>
  <si>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</si>
  <si>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</si>
  <si>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</si>
  <si>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</si>
  <si>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INV049</t>
  </si>
  <si>
    <t>INV050</t>
  </si>
  <si>
    <t>INV051</t>
  </si>
  <si>
    <t>INV052</t>
  </si>
  <si>
    <t>INV053</t>
  </si>
  <si>
    <t>INV054</t>
  </si>
  <si>
    <t>INV055</t>
  </si>
  <si>
    <t>INV056</t>
  </si>
  <si>
    <t>INV057</t>
  </si>
  <si>
    <t>INV058</t>
  </si>
  <si>
    <t>INV059</t>
  </si>
  <si>
    <t>INV060</t>
  </si>
  <si>
    <t>INV061</t>
  </si>
  <si>
    <t>INV062</t>
  </si>
  <si>
    <t>INV063</t>
  </si>
  <si>
    <t>INV064</t>
  </si>
  <si>
    <t>INV065</t>
  </si>
  <si>
    <t>INV066</t>
  </si>
  <si>
    <t>INV067</t>
  </si>
  <si>
    <t>INV068</t>
  </si>
  <si>
    <t>INV069</t>
  </si>
  <si>
    <t>INV070</t>
  </si>
  <si>
    <t>INV071</t>
  </si>
  <si>
    <t>INV072</t>
  </si>
  <si>
    <t>INV073</t>
  </si>
  <si>
    <t>INV074</t>
  </si>
  <si>
    <t>INV075</t>
  </si>
  <si>
    <t>INV076</t>
  </si>
  <si>
    <t>INV077</t>
  </si>
  <si>
    <t>INV078</t>
  </si>
  <si>
    <t>INV079</t>
  </si>
  <si>
    <t>INV080</t>
  </si>
  <si>
    <t>INV081</t>
  </si>
  <si>
    <t>INV082</t>
  </si>
  <si>
    <t>INV083</t>
  </si>
  <si>
    <t>INV084</t>
  </si>
  <si>
    <t>INV085</t>
  </si>
  <si>
    <t>INV086</t>
  </si>
  <si>
    <t>INV087</t>
  </si>
  <si>
    <t>INV088</t>
  </si>
  <si>
    <t>INV089</t>
  </si>
  <si>
    <t>INV090</t>
  </si>
  <si>
    <t>INV091</t>
  </si>
  <si>
    <t>INV092</t>
  </si>
  <si>
    <t>INV093</t>
  </si>
  <si>
    <t>INV094</t>
  </si>
  <si>
    <t>INV095</t>
  </si>
  <si>
    <t>INV096</t>
  </si>
  <si>
    <t>INV097</t>
  </si>
  <si>
    <t>INV098</t>
  </si>
  <si>
    <t>INV099</t>
  </si>
  <si>
    <t>INV100</t>
  </si>
  <si>
    <t>INV101</t>
  </si>
  <si>
    <t>INV102</t>
  </si>
  <si>
    <t>INV103</t>
  </si>
  <si>
    <t>INV104</t>
  </si>
  <si>
    <t>INV105</t>
  </si>
  <si>
    <t>INV106</t>
  </si>
  <si>
    <t>INV107</t>
  </si>
  <si>
    <t>INV108</t>
  </si>
  <si>
    <t>INV109</t>
  </si>
  <si>
    <t>INV110</t>
  </si>
  <si>
    <t>INV111</t>
  </si>
  <si>
    <t>INV112</t>
  </si>
  <si>
    <t>INV113</t>
  </si>
  <si>
    <t>INV114</t>
  </si>
  <si>
    <t>INV115</t>
  </si>
  <si>
    <t>INV116</t>
  </si>
  <si>
    <t>INV117</t>
  </si>
  <si>
    <t>INV118</t>
  </si>
  <si>
    <t>INV119</t>
  </si>
  <si>
    <t>INV120</t>
  </si>
  <si>
    <t>INV121</t>
  </si>
  <si>
    <t>INV122</t>
  </si>
  <si>
    <t>INV123</t>
  </si>
  <si>
    <t>INV124</t>
  </si>
  <si>
    <t>INV125</t>
  </si>
  <si>
    <t>INV126</t>
  </si>
  <si>
    <t>INV127</t>
  </si>
  <si>
    <t>INV128</t>
  </si>
  <si>
    <t>INV129</t>
  </si>
  <si>
    <t>INV130</t>
  </si>
  <si>
    <t>INV131</t>
  </si>
  <si>
    <t>INV132</t>
  </si>
  <si>
    <t>INV133</t>
  </si>
  <si>
    <t>INV134</t>
  </si>
  <si>
    <t>INV135</t>
  </si>
  <si>
    <t>INV136</t>
  </si>
  <si>
    <t>INV137</t>
  </si>
  <si>
    <t>INV138</t>
  </si>
  <si>
    <t>INV139</t>
  </si>
  <si>
    <t>INV140</t>
  </si>
  <si>
    <t>INV141</t>
  </si>
  <si>
    <t>INV142</t>
  </si>
  <si>
    <t>INV143</t>
  </si>
  <si>
    <t>INV144</t>
  </si>
  <si>
    <t>INV145</t>
  </si>
  <si>
    <t>INV146</t>
  </si>
  <si>
    <t>INV147</t>
  </si>
  <si>
    <t>INV148</t>
  </si>
  <si>
    <t>INV149</t>
  </si>
  <si>
    <t>INV150</t>
  </si>
  <si>
    <t>INV151</t>
  </si>
  <si>
    <t>INV152</t>
  </si>
  <si>
    <t>INV153</t>
  </si>
  <si>
    <t>INV154</t>
  </si>
  <si>
    <t>INV155</t>
  </si>
  <si>
    <t>INV156</t>
  </si>
  <si>
    <t>INV157</t>
  </si>
  <si>
    <t>INV158</t>
  </si>
  <si>
    <t>INV159</t>
  </si>
  <si>
    <t>INV160</t>
  </si>
  <si>
    <t>INV161</t>
  </si>
  <si>
    <t>INV162</t>
  </si>
  <si>
    <t>INV163</t>
  </si>
  <si>
    <t>INV164</t>
  </si>
  <si>
    <t>INV165</t>
  </si>
  <si>
    <t>INV166</t>
  </si>
  <si>
    <t>INV167</t>
  </si>
  <si>
    <t>INV168</t>
  </si>
  <si>
    <t>INV169</t>
  </si>
  <si>
    <t>INV170</t>
  </si>
  <si>
    <t>INV171</t>
  </si>
  <si>
    <t>INV172</t>
  </si>
  <si>
    <t>INV173</t>
  </si>
  <si>
    <t>INV174</t>
  </si>
  <si>
    <t>INV175</t>
  </si>
  <si>
    <t>INV176</t>
  </si>
  <si>
    <t>INV177</t>
  </si>
  <si>
    <t>INV178</t>
  </si>
  <si>
    <t>INV179</t>
  </si>
  <si>
    <t>INV180</t>
  </si>
  <si>
    <t>INV181</t>
  </si>
  <si>
    <t>INV182</t>
  </si>
  <si>
    <t>INV183</t>
  </si>
  <si>
    <t>INV184</t>
  </si>
  <si>
    <t>INV185</t>
  </si>
  <si>
    <t>INV186</t>
  </si>
  <si>
    <t>INV187</t>
  </si>
  <si>
    <t>INV188</t>
  </si>
  <si>
    <t>INV189</t>
  </si>
  <si>
    <t>INV190</t>
  </si>
  <si>
    <t>INV191</t>
  </si>
  <si>
    <t>INV192</t>
  </si>
  <si>
    <t>INV193</t>
  </si>
  <si>
    <t>INV194</t>
  </si>
  <si>
    <t>INV195</t>
  </si>
  <si>
    <t>INV196</t>
  </si>
  <si>
    <t>INV197</t>
  </si>
  <si>
    <t>INV198</t>
  </si>
  <si>
    <t>INV199</t>
  </si>
  <si>
    <t>INV200</t>
  </si>
  <si>
    <t>l</t>
  </si>
  <si>
    <t>Current Inventory</t>
  </si>
  <si>
    <t>Current InventoryValue</t>
  </si>
  <si>
    <t>Lunch</t>
  </si>
  <si>
    <t>Having lunch together</t>
  </si>
  <si>
    <t>hrr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</si>
</sst>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#&quot;pcs&quot;"/>
    <numFmt numFmtId="165" formatCode="#,##0&quot;৳&quot;"/>
    <numFmt numFmtId="166" formatCode="#,##0\ &quot;Unit&quot;"/>
    <numFmt numFmtId="167" formatCode="0\ &quot;Unit&quot;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Arial Rounded MT Bold"/>
      <family val="2"/>
    </font>
    <font>
      <sz val="12"/>
      <color theme="1"/>
      <name val="Calibri"/>
      <family val="2"/>
      <scheme val="minor"/>
    </font>
    <font>
      <b/>
      <sz val="12"/>
      <name val="Bodoni MT"/>
      <family val="1"/>
    </font>
    <font>
      <sz val="12"/>
      <color theme="1"/>
      <name val="Bodoni MT"/>
      <family val="1"/>
    </font>
    <font>
      <b/>
      <sz val="12"/>
      <color theme="0"/>
      <name val="Calibri"/>
      <family val="2"/>
    </font>
    <font>
      <b/>
      <sz val="12"/>
      <color theme="0"/>
      <name val="Aptos"/>
      <family val="2"/>
    </font>
    <font>
      <b/>
      <sz val="12"/>
      <color theme="1" tint="4.9989318521683403E-2"/>
      <name val="Bodoni MT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10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0" fontId="0" fillId="0" borderId="0" xfId="0" applyNumberFormat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</xf>
    <xf numFmtId="0" fontId="1" fillId="4" borderId="0" xfId="0" applyFont="1" applyFill="1" applyProtection="1">
      <protection locked="0"/>
    </xf>
    <xf numFmtId="164" fontId="0" fillId="0" borderId="0" xfId="0" applyNumberFormat="1" applyProtection="1">
      <protection locked="0"/>
    </xf>
    <xf numFmtId="0" fontId="1" fillId="4" borderId="0" xfId="0" applyFont="1" applyFill="1" applyProtection="1"/>
    <xf numFmtId="0" fontId="0" fillId="0" borderId="0" xfId="0" applyProtection="1"/>
    <xf numFmtId="167" fontId="0" fillId="0" borderId="0" xfId="0" applyNumberFormat="1" applyProtection="1"/>
    <xf numFmtId="164" fontId="0" fillId="0" borderId="0" xfId="0" applyNumberFormat="1" applyProtection="1"/>
    <xf numFmtId="0" fontId="3" fillId="4" borderId="0" xfId="0" applyFont="1" applyFill="1" applyProtection="1"/>
    <xf numFmtId="0" fontId="0" fillId="5" borderId="0" xfId="0" applyFill="1"/>
    <xf numFmtId="0" fontId="0" fillId="6" borderId="0" xfId="0" applyFill="1"/>
    <xf numFmtId="0" fontId="0" fillId="6" borderId="0" xfId="0" applyFill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/>
    <xf numFmtId="0" fontId="0" fillId="2" borderId="0" xfId="0" applyFill="1" applyProtection="1"/>
    <xf numFmtId="165" fontId="4" fillId="2" borderId="0" xfId="0" applyNumberFormat="1" applyFont="1" applyFill="1" applyAlignment="1" applyProtection="1">
      <alignment horizontal="center" vertical="center"/>
    </xf>
    <xf numFmtId="166" fontId="4" fillId="2" borderId="0" xfId="0" applyNumberFormat="1" applyFont="1" applyFill="1" applyAlignment="1" applyProtection="1">
      <alignment horizontal="center" vertical="center"/>
    </xf>
    <xf numFmtId="165" fontId="4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54">
    <dxf>
      <alignment horizontal="center" textRotation="0" wrapText="0" indent="0" justifyLastLine="0" shrinkToFit="0" readingOrder="0"/>
      <protection locked="1" hidden="0"/>
    </dxf>
    <dxf>
      <alignment horizontal="center" textRotation="0" wrapText="0" indent="0" justifyLastLine="0" shrinkToFit="0" readingOrder="0"/>
      <protection locked="1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 tint="4.9989318521683403E-2"/>
        <name val="Bodoni MT"/>
        <family val="1"/>
        <scheme val="none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164" formatCode="0#&quot;pcs&quot;"/>
      <protection locked="1" hidden="0"/>
    </dxf>
    <dxf>
      <numFmt numFmtId="0" formatCode="General"/>
      <protection locked="1" hidden="0"/>
    </dxf>
    <dxf>
      <protection locked="1" hidden="0"/>
    </dxf>
    <dxf>
      <numFmt numFmtId="0" formatCode="General"/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ill>
        <patternFill patternType="solid">
          <fgColor indexed="64"/>
          <bgColor theme="6" tint="0.39997558519241921"/>
        </patternFill>
      </fill>
      <protection locked="0" hidden="0"/>
    </dxf>
    <dxf>
      <numFmt numFmtId="164" formatCode="0#&quot;pcs&quot;"/>
      <protection locked="0" hidden="0"/>
    </dxf>
    <dxf>
      <protection locked="0" hidden="0"/>
    </dxf>
    <dxf>
      <protection locked="0" hidden="0"/>
    </dxf>
    <dxf>
      <numFmt numFmtId="0" formatCode="General"/>
      <alignment horizontal="center" textRotation="0" wrapText="0" indent="0" justifyLastLine="0" shrinkToFit="0" readingOrder="0"/>
      <protection locked="1" hidden="0"/>
    </dxf>
    <dxf>
      <numFmt numFmtId="0" formatCode="General"/>
      <alignment horizontal="center" textRotation="0" wrapText="0" indent="0" justifyLastLine="0" shrinkToFit="0" readingOrder="0"/>
      <protection locked="1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Bodoni MT"/>
        <family val="1"/>
        <scheme val="none"/>
      </font>
      <alignment horizontal="center" vertic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Aptos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3" Type="http://schemas.openxmlformats.org/officeDocument/2006/relationships/hyperlink" Target="#DashBoard!A1"/><Relationship Id="rId7" Type="http://schemas.openxmlformats.org/officeDocument/2006/relationships/hyperlink" Target="#'Customer Summary'!A1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hyperlink" Target="#'Operating Expenses'!A1"/><Relationship Id="rId5" Type="http://schemas.openxmlformats.org/officeDocument/2006/relationships/hyperlink" Target="#Sales!A1"/><Relationship Id="rId4" Type="http://schemas.openxmlformats.org/officeDocument/2006/relationships/hyperlink" Target="#Purchase!A1"/><Relationship Id="rId9" Type="http://schemas.openxmlformats.org/officeDocument/2006/relationships/hyperlink" Target="#CodeKey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CodeKey!A1"/><Relationship Id="rId3" Type="http://schemas.openxmlformats.org/officeDocument/2006/relationships/hyperlink" Target="#Purchase!A1"/><Relationship Id="rId7" Type="http://schemas.openxmlformats.org/officeDocument/2006/relationships/hyperlink" Target="#Inventory!A1"/><Relationship Id="rId2" Type="http://schemas.openxmlformats.org/officeDocument/2006/relationships/hyperlink" Target="#DashBoard!A1"/><Relationship Id="rId1" Type="http://schemas.openxmlformats.org/officeDocument/2006/relationships/image" Target="../media/image1.jpeg"/><Relationship Id="rId6" Type="http://schemas.openxmlformats.org/officeDocument/2006/relationships/hyperlink" Target="#'Customer Summary'!A1"/><Relationship Id="rId5" Type="http://schemas.openxmlformats.org/officeDocument/2006/relationships/hyperlink" Target="#'Operating Expenses'!A1"/><Relationship Id="rId4" Type="http://schemas.openxmlformats.org/officeDocument/2006/relationships/hyperlink" Target="#Sale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DashBoard!A1"/><Relationship Id="rId3" Type="http://schemas.openxmlformats.org/officeDocument/2006/relationships/hyperlink" Target="#Sales!A1"/><Relationship Id="rId7" Type="http://schemas.openxmlformats.org/officeDocument/2006/relationships/hyperlink" Target="#CodeKey!A1"/><Relationship Id="rId2" Type="http://schemas.openxmlformats.org/officeDocument/2006/relationships/hyperlink" Target="#Purchase!A1"/><Relationship Id="rId1" Type="http://schemas.openxmlformats.org/officeDocument/2006/relationships/image" Target="../media/image1.jpeg"/><Relationship Id="rId6" Type="http://schemas.openxmlformats.org/officeDocument/2006/relationships/hyperlink" Target="#Inventory!A1"/><Relationship Id="rId5" Type="http://schemas.openxmlformats.org/officeDocument/2006/relationships/hyperlink" Target="#'Customer Summary'!A1"/><Relationship Id="rId4" Type="http://schemas.openxmlformats.org/officeDocument/2006/relationships/hyperlink" Target="#'Operating Expenses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CodeKey!A1"/><Relationship Id="rId3" Type="http://schemas.openxmlformats.org/officeDocument/2006/relationships/hyperlink" Target="#Purchase!A1"/><Relationship Id="rId7" Type="http://schemas.openxmlformats.org/officeDocument/2006/relationships/hyperlink" Target="#Inventory!A1"/><Relationship Id="rId2" Type="http://schemas.openxmlformats.org/officeDocument/2006/relationships/hyperlink" Target="#DashBoard!A1"/><Relationship Id="rId1" Type="http://schemas.openxmlformats.org/officeDocument/2006/relationships/image" Target="../media/image1.jpeg"/><Relationship Id="rId6" Type="http://schemas.openxmlformats.org/officeDocument/2006/relationships/hyperlink" Target="#'Customer Summary'!A1"/><Relationship Id="rId5" Type="http://schemas.openxmlformats.org/officeDocument/2006/relationships/hyperlink" Target="#'Operating Expenses'!A1"/><Relationship Id="rId4" Type="http://schemas.openxmlformats.org/officeDocument/2006/relationships/hyperlink" Target="#Sales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CodeKey!A1"/><Relationship Id="rId3" Type="http://schemas.openxmlformats.org/officeDocument/2006/relationships/hyperlink" Target="#Purchase!A1"/><Relationship Id="rId7" Type="http://schemas.openxmlformats.org/officeDocument/2006/relationships/hyperlink" Target="#Inventory!A1"/><Relationship Id="rId2" Type="http://schemas.openxmlformats.org/officeDocument/2006/relationships/hyperlink" Target="#DashBoard!A1"/><Relationship Id="rId1" Type="http://schemas.openxmlformats.org/officeDocument/2006/relationships/image" Target="../media/image1.jpeg"/><Relationship Id="rId6" Type="http://schemas.openxmlformats.org/officeDocument/2006/relationships/hyperlink" Target="#'Customer Summary'!A1"/><Relationship Id="rId5" Type="http://schemas.openxmlformats.org/officeDocument/2006/relationships/hyperlink" Target="#'Operating Expenses'!A1"/><Relationship Id="rId4" Type="http://schemas.openxmlformats.org/officeDocument/2006/relationships/hyperlink" Target="#Sales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CodeKey!A1"/><Relationship Id="rId3" Type="http://schemas.openxmlformats.org/officeDocument/2006/relationships/hyperlink" Target="#Purchase!A1"/><Relationship Id="rId7" Type="http://schemas.openxmlformats.org/officeDocument/2006/relationships/hyperlink" Target="#Inventory!A1"/><Relationship Id="rId2" Type="http://schemas.openxmlformats.org/officeDocument/2006/relationships/hyperlink" Target="#DashBoard!A1"/><Relationship Id="rId1" Type="http://schemas.openxmlformats.org/officeDocument/2006/relationships/image" Target="../media/image1.jpeg"/><Relationship Id="rId6" Type="http://schemas.openxmlformats.org/officeDocument/2006/relationships/hyperlink" Target="#'Customer Summary'!A1"/><Relationship Id="rId5" Type="http://schemas.openxmlformats.org/officeDocument/2006/relationships/hyperlink" Target="#'Operating Expenses'!A1"/><Relationship Id="rId4" Type="http://schemas.openxmlformats.org/officeDocument/2006/relationships/hyperlink" Target="#Sales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DashBoard!A1"/><Relationship Id="rId3" Type="http://schemas.openxmlformats.org/officeDocument/2006/relationships/hyperlink" Target="#Sales!A1"/><Relationship Id="rId7" Type="http://schemas.openxmlformats.org/officeDocument/2006/relationships/hyperlink" Target="#CodeKey!A1"/><Relationship Id="rId2" Type="http://schemas.openxmlformats.org/officeDocument/2006/relationships/hyperlink" Target="#Purchase!A1"/><Relationship Id="rId1" Type="http://schemas.openxmlformats.org/officeDocument/2006/relationships/image" Target="../media/image1.jpeg"/><Relationship Id="rId6" Type="http://schemas.openxmlformats.org/officeDocument/2006/relationships/hyperlink" Target="#Inventory!A1"/><Relationship Id="rId5" Type="http://schemas.openxmlformats.org/officeDocument/2006/relationships/hyperlink" Target="#'Customer Summary'!A1"/><Relationship Id="rId4" Type="http://schemas.openxmlformats.org/officeDocument/2006/relationships/hyperlink" Target="#'Operating Expense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3</xdr:row>
      <xdr:rowOff>146050</xdr:rowOff>
    </xdr:from>
    <xdr:to>
      <xdr:col>4</xdr:col>
      <xdr:colOff>514350</xdr:colOff>
      <xdr:row>5</xdr:row>
      <xdr:rowOff>101600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C1FD433-DD89-E80F-AA82-ACEBA7037C48}"/>
            </a:ext>
          </a:extLst>
        </xdr:cNvPr>
        <xdr:cNvSpPr/>
      </xdr:nvSpPr>
      <xdr:spPr>
        <a:xfrm>
          <a:off x="38100" y="146050"/>
          <a:ext cx="1695450" cy="32385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i="0" u="none" strike="noStrike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Total Purchase Cost</a:t>
          </a:r>
          <a:r>
            <a:rPr lang="en-US" sz="1100">
              <a:solidFill>
                <a:srgbClr val="002060"/>
              </a:solidFill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</a:p>
      </xdr:txBody>
    </xdr:sp>
    <xdr:clientData/>
  </xdr:twoCellAnchor>
  <xdr:twoCellAnchor>
    <xdr:from>
      <xdr:col>5</xdr:col>
      <xdr:colOff>127000</xdr:colOff>
      <xdr:row>3</xdr:row>
      <xdr:rowOff>146050</xdr:rowOff>
    </xdr:from>
    <xdr:to>
      <xdr:col>7</xdr:col>
      <xdr:colOff>234950</xdr:colOff>
      <xdr:row>5</xdr:row>
      <xdr:rowOff>101600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69F74D1-919C-7785-1C35-AA7B958F647D}"/>
            </a:ext>
          </a:extLst>
        </xdr:cNvPr>
        <xdr:cNvSpPr/>
      </xdr:nvSpPr>
      <xdr:spPr>
        <a:xfrm>
          <a:off x="1955800" y="146050"/>
          <a:ext cx="1327150" cy="32385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i="0" u="none" strike="noStrike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Total Revenue</a:t>
          </a:r>
          <a:endParaRPr lang="en-US" sz="1100">
            <a:solidFill>
              <a:srgbClr val="002060"/>
            </a:solidFill>
            <a:latin typeface="Elephant" panose="02020904090505020303" pitchFamily="18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7</xdr:col>
      <xdr:colOff>565150</xdr:colOff>
      <xdr:row>3</xdr:row>
      <xdr:rowOff>146050</xdr:rowOff>
    </xdr:from>
    <xdr:to>
      <xdr:col>10</xdr:col>
      <xdr:colOff>520700</xdr:colOff>
      <xdr:row>5</xdr:row>
      <xdr:rowOff>101600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4581CC2-4786-8EF7-CF22-F55D414EDAFE}"/>
            </a:ext>
          </a:extLst>
        </xdr:cNvPr>
        <xdr:cNvSpPr/>
      </xdr:nvSpPr>
      <xdr:spPr>
        <a:xfrm>
          <a:off x="3613150" y="146050"/>
          <a:ext cx="1784350" cy="32385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i="0" u="none" strike="noStrike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Cost</a:t>
          </a:r>
          <a:r>
            <a:rPr lang="en-US" sz="1100" b="0" i="0" u="none" strike="noStrike" baseline="0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 of Goods Sold</a:t>
          </a:r>
          <a:endParaRPr lang="en-US" sz="1100">
            <a:solidFill>
              <a:srgbClr val="002060"/>
            </a:solidFill>
            <a:latin typeface="Elephant" panose="02020904090505020303" pitchFamily="18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11</xdr:col>
      <xdr:colOff>152400</xdr:colOff>
      <xdr:row>3</xdr:row>
      <xdr:rowOff>146050</xdr:rowOff>
    </xdr:from>
    <xdr:to>
      <xdr:col>13</xdr:col>
      <xdr:colOff>527050</xdr:colOff>
      <xdr:row>5</xdr:row>
      <xdr:rowOff>101600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6CC05D6-7305-C93E-CDDE-0CAEA3DB5A03}"/>
            </a:ext>
          </a:extLst>
        </xdr:cNvPr>
        <xdr:cNvSpPr/>
      </xdr:nvSpPr>
      <xdr:spPr>
        <a:xfrm>
          <a:off x="5638800" y="146050"/>
          <a:ext cx="1238250" cy="32385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0" i="0" u="none" strike="noStrike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Gross Profit</a:t>
          </a:r>
        </a:p>
      </xdr:txBody>
    </xdr:sp>
    <xdr:clientData/>
  </xdr:twoCellAnchor>
  <xdr:twoCellAnchor>
    <xdr:from>
      <xdr:col>13</xdr:col>
      <xdr:colOff>711200</xdr:colOff>
      <xdr:row>3</xdr:row>
      <xdr:rowOff>146050</xdr:rowOff>
    </xdr:from>
    <xdr:to>
      <xdr:col>17</xdr:col>
      <xdr:colOff>95250</xdr:colOff>
      <xdr:row>5</xdr:row>
      <xdr:rowOff>101600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45730E2-A5E0-3E86-34BF-3A3AEE1F77D4}"/>
            </a:ext>
          </a:extLst>
        </xdr:cNvPr>
        <xdr:cNvSpPr/>
      </xdr:nvSpPr>
      <xdr:spPr>
        <a:xfrm>
          <a:off x="7061200" y="146050"/>
          <a:ext cx="1962150" cy="32385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000" b="0" i="0" u="none" strike="noStrike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Total Operating Expense</a:t>
          </a:r>
        </a:p>
      </xdr:txBody>
    </xdr:sp>
    <xdr:clientData/>
  </xdr:twoCellAnchor>
  <xdr:twoCellAnchor>
    <xdr:from>
      <xdr:col>18</xdr:col>
      <xdr:colOff>82550</xdr:colOff>
      <xdr:row>3</xdr:row>
      <xdr:rowOff>146050</xdr:rowOff>
    </xdr:from>
    <xdr:to>
      <xdr:col>20</xdr:col>
      <xdr:colOff>425450</xdr:colOff>
      <xdr:row>5</xdr:row>
      <xdr:rowOff>101600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E2A2CE2-BE42-7D19-D0FB-54A2D28219EA}"/>
            </a:ext>
          </a:extLst>
        </xdr:cNvPr>
        <xdr:cNvSpPr/>
      </xdr:nvSpPr>
      <xdr:spPr>
        <a:xfrm>
          <a:off x="9182100" y="146050"/>
          <a:ext cx="1562100" cy="323850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strike="noStrike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Net Profit</a:t>
          </a:r>
        </a:p>
      </xdr:txBody>
    </xdr:sp>
    <xdr:clientData/>
  </xdr:twoCellAnchor>
  <xdr:twoCellAnchor>
    <xdr:from>
      <xdr:col>2</xdr:col>
      <xdr:colOff>18857</xdr:colOff>
      <xdr:row>9</xdr:row>
      <xdr:rowOff>31493</xdr:rowOff>
    </xdr:from>
    <xdr:to>
      <xdr:col>5</xdr:col>
      <xdr:colOff>14841</xdr:colOff>
      <xdr:row>11</xdr:row>
      <xdr:rowOff>147525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2DA0994-6DD5-1118-9615-5FE4A004EDC3}"/>
            </a:ext>
          </a:extLst>
        </xdr:cNvPr>
        <xdr:cNvSpPr/>
      </xdr:nvSpPr>
      <xdr:spPr>
        <a:xfrm>
          <a:off x="18857" y="2314927"/>
          <a:ext cx="1824014" cy="48805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strike="noStrike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Total Unit Purchased</a:t>
          </a:r>
        </a:p>
      </xdr:txBody>
    </xdr:sp>
    <xdr:clientData/>
  </xdr:twoCellAnchor>
  <xdr:twoCellAnchor>
    <xdr:from>
      <xdr:col>5</xdr:col>
      <xdr:colOff>107757</xdr:colOff>
      <xdr:row>9</xdr:row>
      <xdr:rowOff>31493</xdr:rowOff>
    </xdr:from>
    <xdr:to>
      <xdr:col>8</xdr:col>
      <xdr:colOff>25265</xdr:colOff>
      <xdr:row>11</xdr:row>
      <xdr:rowOff>147525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392800C-5243-51B8-AE77-17367C0AE47B}"/>
            </a:ext>
          </a:extLst>
        </xdr:cNvPr>
        <xdr:cNvSpPr/>
      </xdr:nvSpPr>
      <xdr:spPr>
        <a:xfrm>
          <a:off x="1935787" y="2314927"/>
          <a:ext cx="1745539" cy="48805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i="0" u="none" strike="noStrike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Total</a:t>
          </a:r>
          <a:r>
            <a:rPr lang="en-US" sz="1100" b="0" i="0" u="none" strike="noStrike" baseline="0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US" sz="1100" b="0" i="0" u="none" strike="noStrike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Unit</a:t>
          </a:r>
          <a:r>
            <a:rPr lang="en-US" sz="1100" b="0" i="0" u="none" strike="noStrike" baseline="0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n-US" sz="1100" b="0" i="0" u="none" strike="noStrike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Sold</a:t>
          </a:r>
          <a:r>
            <a:rPr lang="en-US">
              <a:solidFill>
                <a:srgbClr val="002060"/>
              </a:solidFill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en-US" sz="1100">
            <a:solidFill>
              <a:srgbClr val="002060"/>
            </a:solidFill>
            <a:latin typeface="Elephant" panose="02020904090505020303" pitchFamily="18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8</xdr:col>
      <xdr:colOff>228406</xdr:colOff>
      <xdr:row>9</xdr:row>
      <xdr:rowOff>31493</xdr:rowOff>
    </xdr:from>
    <xdr:to>
      <xdr:col>12</xdr:col>
      <xdr:colOff>48677</xdr:colOff>
      <xdr:row>11</xdr:row>
      <xdr:rowOff>147525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BE61018-2B39-D10E-CEBB-935CBA84DF1A}"/>
            </a:ext>
          </a:extLst>
        </xdr:cNvPr>
        <xdr:cNvSpPr/>
      </xdr:nvSpPr>
      <xdr:spPr>
        <a:xfrm>
          <a:off x="3884467" y="2314927"/>
          <a:ext cx="1904867" cy="48805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i="0" u="none" strike="noStrike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Current</a:t>
          </a:r>
          <a:r>
            <a:rPr lang="en-US" sz="1100" b="0" i="0" u="none" strike="noStrike" baseline="0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 Inventory unit</a:t>
          </a:r>
          <a:endParaRPr lang="en-US" sz="1100">
            <a:solidFill>
              <a:srgbClr val="002060"/>
            </a:solidFill>
            <a:latin typeface="Elephant" panose="02020904090505020303" pitchFamily="18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12</xdr:col>
      <xdr:colOff>234757</xdr:colOff>
      <xdr:row>9</xdr:row>
      <xdr:rowOff>31493</xdr:rowOff>
    </xdr:from>
    <xdr:to>
      <xdr:col>15</xdr:col>
      <xdr:colOff>372020</xdr:colOff>
      <xdr:row>11</xdr:row>
      <xdr:rowOff>147525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1729E00-5B21-DDA1-862E-883FA0EDA5A4}"/>
            </a:ext>
          </a:extLst>
        </xdr:cNvPr>
        <xdr:cNvSpPr/>
      </xdr:nvSpPr>
      <xdr:spPr>
        <a:xfrm>
          <a:off x="5975414" y="2314927"/>
          <a:ext cx="2106404" cy="488053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i="0" u="none" strike="noStrike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Current</a:t>
          </a:r>
          <a:r>
            <a:rPr lang="en-US" sz="1100" b="0" i="0" u="none" strike="noStrike" baseline="0">
              <a:solidFill>
                <a:srgbClr val="002060"/>
              </a:solidFill>
              <a:effectLst/>
              <a:latin typeface="Elephant" panose="02020904090505020303" pitchFamily="18" charset="0"/>
              <a:ea typeface="Tahoma" panose="020B0604030504040204" pitchFamily="34" charset="0"/>
              <a:cs typeface="Tahoma" panose="020B0604030504040204" pitchFamily="34" charset="0"/>
            </a:rPr>
            <a:t> Inventory Value</a:t>
          </a:r>
          <a:endParaRPr lang="en-US" sz="1100">
            <a:solidFill>
              <a:srgbClr val="002060"/>
            </a:solidFill>
            <a:latin typeface="Elephant" panose="02020904090505020303" pitchFamily="18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0</xdr:col>
      <xdr:colOff>34792</xdr:colOff>
      <xdr:row>0</xdr:row>
      <xdr:rowOff>0</xdr:rowOff>
    </xdr:from>
    <xdr:to>
      <xdr:col>2</xdr:col>
      <xdr:colOff>12048</xdr:colOff>
      <xdr:row>5</xdr:row>
      <xdr:rowOff>66291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A15CD19-99FD-2DB7-A7AE-C260590E7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92" y="0"/>
          <a:ext cx="1198410" cy="1276978"/>
        </a:xfrm>
        <a:prstGeom prst="rect">
          <a:avLst/>
        </a:prstGeom>
      </xdr:spPr>
    </xdr:pic>
    <xdr:clientData/>
  </xdr:twoCellAnchor>
  <xdr:twoCellAnchor>
    <xdr:from>
      <xdr:col>3</xdr:col>
      <xdr:colOff>226165</xdr:colOff>
      <xdr:row>0</xdr:row>
      <xdr:rowOff>0</xdr:rowOff>
    </xdr:from>
    <xdr:to>
      <xdr:col>20</xdr:col>
      <xdr:colOff>602928</xdr:colOff>
      <xdr:row>3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6C8F502-1201-1068-1DE9-3ED07C6708AB}"/>
            </a:ext>
          </a:extLst>
        </xdr:cNvPr>
        <xdr:cNvSpPr txBox="1"/>
      </xdr:nvSpPr>
      <xdr:spPr>
        <a:xfrm>
          <a:off x="2052877" y="0"/>
          <a:ext cx="10075736" cy="835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8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Sales Dash</a:t>
          </a:r>
          <a:r>
            <a:rPr lang="en-US" sz="38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Board</a:t>
          </a:r>
          <a:endParaRPr lang="en-US" sz="380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</xdr:col>
      <xdr:colOff>57727</xdr:colOff>
      <xdr:row>6</xdr:row>
      <xdr:rowOff>35031</xdr:rowOff>
    </xdr:from>
    <xdr:to>
      <xdr:col>4</xdr:col>
      <xdr:colOff>532374</xdr:colOff>
      <xdr:row>6</xdr:row>
      <xdr:rowOff>503757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BA3B514-B947-8643-3521-33C006F8D742}"/>
            </a:ext>
          </a:extLst>
        </xdr:cNvPr>
        <xdr:cNvSpPr/>
      </xdr:nvSpPr>
      <xdr:spPr>
        <a:xfrm>
          <a:off x="57727" y="1433314"/>
          <a:ext cx="1693334" cy="468726"/>
        </a:xfrm>
        <a:prstGeom prst="roundRect">
          <a:avLst/>
        </a:prstGeom>
        <a:noFill/>
        <a:ln>
          <a:solidFill>
            <a:schemeClr val="tx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75431</xdr:colOff>
      <xdr:row>6</xdr:row>
      <xdr:rowOff>30532</xdr:rowOff>
    </xdr:from>
    <xdr:to>
      <xdr:col>7</xdr:col>
      <xdr:colOff>378435</xdr:colOff>
      <xdr:row>7</xdr:row>
      <xdr:rowOff>4875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55913271-3BC8-4426-B867-9A8A9DECA238}"/>
            </a:ext>
          </a:extLst>
        </xdr:cNvPr>
        <xdr:cNvSpPr/>
      </xdr:nvSpPr>
      <xdr:spPr>
        <a:xfrm>
          <a:off x="1903461" y="1428815"/>
          <a:ext cx="1521691" cy="487474"/>
        </a:xfrm>
        <a:prstGeom prst="roundRect">
          <a:avLst/>
        </a:prstGeom>
        <a:noFill/>
        <a:ln>
          <a:solidFill>
            <a:schemeClr val="tx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64141</xdr:colOff>
      <xdr:row>6</xdr:row>
      <xdr:rowOff>19243</xdr:rowOff>
    </xdr:from>
    <xdr:to>
      <xdr:col>10</xdr:col>
      <xdr:colOff>538789</xdr:colOff>
      <xdr:row>6</xdr:row>
      <xdr:rowOff>506717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E8164B00-D252-4F1D-BA80-065722E3DCCB}"/>
            </a:ext>
          </a:extLst>
        </xdr:cNvPr>
        <xdr:cNvSpPr/>
      </xdr:nvSpPr>
      <xdr:spPr>
        <a:xfrm>
          <a:off x="3720202" y="1417526"/>
          <a:ext cx="1693334" cy="487474"/>
        </a:xfrm>
        <a:prstGeom prst="roundRect">
          <a:avLst/>
        </a:prstGeom>
        <a:noFill/>
        <a:ln>
          <a:solidFill>
            <a:schemeClr val="tx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94672</xdr:colOff>
      <xdr:row>6</xdr:row>
      <xdr:rowOff>24118</xdr:rowOff>
    </xdr:from>
    <xdr:to>
      <xdr:col>13</xdr:col>
      <xdr:colOff>699141</xdr:colOff>
      <xdr:row>6</xdr:row>
      <xdr:rowOff>511592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C76B7D39-34CE-4DDA-A9C2-627F8367AFDB}"/>
            </a:ext>
          </a:extLst>
        </xdr:cNvPr>
        <xdr:cNvSpPr/>
      </xdr:nvSpPr>
      <xdr:spPr>
        <a:xfrm>
          <a:off x="5578763" y="1422401"/>
          <a:ext cx="1470378" cy="487474"/>
        </a:xfrm>
        <a:prstGeom prst="roundRect">
          <a:avLst/>
        </a:prstGeom>
        <a:noFill/>
        <a:ln>
          <a:solidFill>
            <a:schemeClr val="tx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145985</xdr:colOff>
      <xdr:row>6</xdr:row>
      <xdr:rowOff>30532</xdr:rowOff>
    </xdr:from>
    <xdr:to>
      <xdr:col>17</xdr:col>
      <xdr:colOff>11289</xdr:colOff>
      <xdr:row>7</xdr:row>
      <xdr:rowOff>4875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6AA8A8E7-1201-4BE9-B1B4-640E43DCDB9E}"/>
            </a:ext>
          </a:extLst>
        </xdr:cNvPr>
        <xdr:cNvSpPr/>
      </xdr:nvSpPr>
      <xdr:spPr>
        <a:xfrm>
          <a:off x="7246440" y="1428815"/>
          <a:ext cx="1693334" cy="487474"/>
        </a:xfrm>
        <a:prstGeom prst="roundRect">
          <a:avLst/>
        </a:prstGeom>
        <a:noFill/>
        <a:ln>
          <a:solidFill>
            <a:schemeClr val="tx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64142</xdr:colOff>
      <xdr:row>6</xdr:row>
      <xdr:rowOff>25657</xdr:rowOff>
    </xdr:from>
    <xdr:to>
      <xdr:col>20</xdr:col>
      <xdr:colOff>538789</xdr:colOff>
      <xdr:row>7</xdr:row>
      <xdr:rowOff>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C739CC85-EB6A-4983-8925-6B4D2EFD229E}"/>
            </a:ext>
          </a:extLst>
        </xdr:cNvPr>
        <xdr:cNvSpPr/>
      </xdr:nvSpPr>
      <xdr:spPr>
        <a:xfrm>
          <a:off x="9165809" y="1423940"/>
          <a:ext cx="1693334" cy="487474"/>
        </a:xfrm>
        <a:prstGeom prst="roundRect">
          <a:avLst/>
        </a:prstGeom>
        <a:noFill/>
        <a:ln>
          <a:solidFill>
            <a:schemeClr val="tx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89797</xdr:colOff>
      <xdr:row>12</xdr:row>
      <xdr:rowOff>182930</xdr:rowOff>
    </xdr:from>
    <xdr:to>
      <xdr:col>4</xdr:col>
      <xdr:colOff>564444</xdr:colOff>
      <xdr:row>14</xdr:row>
      <xdr:rowOff>22322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778EFDED-3DBC-4AEC-8749-6FC89A4296AE}"/>
            </a:ext>
          </a:extLst>
        </xdr:cNvPr>
        <xdr:cNvSpPr/>
      </xdr:nvSpPr>
      <xdr:spPr>
        <a:xfrm>
          <a:off x="89797" y="3024395"/>
          <a:ext cx="1693334" cy="506462"/>
        </a:xfrm>
        <a:prstGeom prst="roundRect">
          <a:avLst/>
        </a:prstGeom>
        <a:noFill/>
        <a:ln>
          <a:solidFill>
            <a:schemeClr val="tx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120329</xdr:colOff>
      <xdr:row>13</xdr:row>
      <xdr:rowOff>1795</xdr:rowOff>
    </xdr:from>
    <xdr:to>
      <xdr:col>7</xdr:col>
      <xdr:colOff>594976</xdr:colOff>
      <xdr:row>14</xdr:row>
      <xdr:rowOff>27197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5B20BEA3-32C8-44FD-9559-DA829885CB8F}"/>
            </a:ext>
          </a:extLst>
        </xdr:cNvPr>
        <xdr:cNvSpPr/>
      </xdr:nvSpPr>
      <xdr:spPr>
        <a:xfrm>
          <a:off x="1948359" y="3029270"/>
          <a:ext cx="1693334" cy="506462"/>
        </a:xfrm>
        <a:prstGeom prst="roundRect">
          <a:avLst/>
        </a:prstGeom>
        <a:noFill/>
        <a:ln>
          <a:solidFill>
            <a:schemeClr val="tx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240658</xdr:colOff>
      <xdr:row>13</xdr:row>
      <xdr:rowOff>6670</xdr:rowOff>
    </xdr:from>
    <xdr:to>
      <xdr:col>11</xdr:col>
      <xdr:colOff>105962</xdr:colOff>
      <xdr:row>14</xdr:row>
      <xdr:rowOff>32072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5E3C5A36-B217-40F2-8D9D-348775C16A16}"/>
            </a:ext>
          </a:extLst>
        </xdr:cNvPr>
        <xdr:cNvSpPr/>
      </xdr:nvSpPr>
      <xdr:spPr>
        <a:xfrm>
          <a:off x="3896719" y="3034145"/>
          <a:ext cx="1693334" cy="506462"/>
        </a:xfrm>
        <a:prstGeom prst="roundRect">
          <a:avLst/>
        </a:prstGeom>
        <a:noFill/>
        <a:ln>
          <a:solidFill>
            <a:schemeClr val="tx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149319</xdr:colOff>
      <xdr:row>13</xdr:row>
      <xdr:rowOff>38486</xdr:rowOff>
    </xdr:from>
    <xdr:to>
      <xdr:col>14</xdr:col>
      <xdr:colOff>476250</xdr:colOff>
      <xdr:row>13</xdr:row>
      <xdr:rowOff>474648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FEB8BF7A-A315-4777-B141-932620DF416A}"/>
            </a:ext>
          </a:extLst>
        </xdr:cNvPr>
        <xdr:cNvSpPr/>
      </xdr:nvSpPr>
      <xdr:spPr>
        <a:xfrm>
          <a:off x="7108919" y="3048386"/>
          <a:ext cx="1685831" cy="436162"/>
        </a:xfrm>
        <a:prstGeom prst="roundRect">
          <a:avLst/>
        </a:prstGeom>
        <a:noFill/>
        <a:ln>
          <a:solidFill>
            <a:schemeClr val="tx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19</xdr:col>
      <xdr:colOff>397677</xdr:colOff>
      <xdr:row>0</xdr:row>
      <xdr:rowOff>0</xdr:rowOff>
    </xdr:from>
    <xdr:to>
      <xdr:col>21</xdr:col>
      <xdr:colOff>13010</xdr:colOff>
      <xdr:row>3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9830D51-33D1-686F-A8CA-477304C53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7374" y="0"/>
          <a:ext cx="834020" cy="840253"/>
        </a:xfrm>
        <a:prstGeom prst="rect">
          <a:avLst/>
        </a:prstGeom>
      </xdr:spPr>
    </xdr:pic>
    <xdr:clientData/>
  </xdr:twoCellAnchor>
  <xdr:twoCellAnchor>
    <xdr:from>
      <xdr:col>0</xdr:col>
      <xdr:colOff>28351</xdr:colOff>
      <xdr:row>5</xdr:row>
      <xdr:rowOff>151872</xdr:rowOff>
    </xdr:from>
    <xdr:to>
      <xdr:col>1</xdr:col>
      <xdr:colOff>570747</xdr:colOff>
      <xdr:row>6</xdr:row>
      <xdr:rowOff>192764</xdr:rowOff>
    </xdr:to>
    <xdr:sp macro="" textlink="">
      <xdr:nvSpPr>
        <xdr:cNvPr id="26" name="Rectangle: Rounded Corners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CBCA3E-833C-74C5-D071-75CFBE825CC6}"/>
            </a:ext>
          </a:extLst>
        </xdr:cNvPr>
        <xdr:cNvSpPr/>
      </xdr:nvSpPr>
      <xdr:spPr>
        <a:xfrm>
          <a:off x="28351" y="1348167"/>
          <a:ext cx="1154717" cy="22232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DashBoard</a:t>
          </a:r>
        </a:p>
      </xdr:txBody>
    </xdr:sp>
    <xdr:clientData/>
  </xdr:twoCellAnchor>
  <xdr:twoCellAnchor>
    <xdr:from>
      <xdr:col>0</xdr:col>
      <xdr:colOff>28351</xdr:colOff>
      <xdr:row>6</xdr:row>
      <xdr:rowOff>329836</xdr:rowOff>
    </xdr:from>
    <xdr:to>
      <xdr:col>1</xdr:col>
      <xdr:colOff>570747</xdr:colOff>
      <xdr:row>7</xdr:row>
      <xdr:rowOff>27195</xdr:rowOff>
    </xdr:to>
    <xdr:sp macro="" textlink="">
      <xdr:nvSpPr>
        <xdr:cNvPr id="27" name="Rectangle: Rounded Corners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844960-43B5-998A-437D-5586E8E991D4}"/>
            </a:ext>
          </a:extLst>
        </xdr:cNvPr>
        <xdr:cNvSpPr/>
      </xdr:nvSpPr>
      <xdr:spPr>
        <a:xfrm>
          <a:off x="28351" y="1707559"/>
          <a:ext cx="1154717" cy="213297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Purchase</a:t>
          </a:r>
        </a:p>
      </xdr:txBody>
    </xdr:sp>
    <xdr:clientData/>
  </xdr:twoCellAnchor>
  <xdr:twoCellAnchor>
    <xdr:from>
      <xdr:col>0</xdr:col>
      <xdr:colOff>28351</xdr:colOff>
      <xdr:row>7</xdr:row>
      <xdr:rowOff>158233</xdr:rowOff>
    </xdr:from>
    <xdr:to>
      <xdr:col>1</xdr:col>
      <xdr:colOff>570747</xdr:colOff>
      <xdr:row>9</xdr:row>
      <xdr:rowOff>8338</xdr:rowOff>
    </xdr:to>
    <xdr:sp macro="" textlink="">
      <xdr:nvSpPr>
        <xdr:cNvPr id="28" name="Rectangle: Rounded Corners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903A20B-03E4-9DB7-6B7E-1699BE9D817F}"/>
            </a:ext>
          </a:extLst>
        </xdr:cNvPr>
        <xdr:cNvSpPr/>
      </xdr:nvSpPr>
      <xdr:spPr>
        <a:xfrm>
          <a:off x="28351" y="2051894"/>
          <a:ext cx="1154717" cy="212962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Sales</a:t>
          </a:r>
        </a:p>
      </xdr:txBody>
    </xdr:sp>
    <xdr:clientData/>
  </xdr:twoCellAnchor>
  <xdr:twoCellAnchor>
    <xdr:from>
      <xdr:col>0</xdr:col>
      <xdr:colOff>28351</xdr:colOff>
      <xdr:row>9</xdr:row>
      <xdr:rowOff>133476</xdr:rowOff>
    </xdr:from>
    <xdr:to>
      <xdr:col>1</xdr:col>
      <xdr:colOff>570747</xdr:colOff>
      <xdr:row>10</xdr:row>
      <xdr:rowOff>172335</xdr:rowOff>
    </xdr:to>
    <xdr:sp macro="" textlink="">
      <xdr:nvSpPr>
        <xdr:cNvPr id="29" name="Rectangle: Rounded Corners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C3470FB-8365-8E0A-E42A-473C34E02669}"/>
            </a:ext>
          </a:extLst>
        </xdr:cNvPr>
        <xdr:cNvSpPr/>
      </xdr:nvSpPr>
      <xdr:spPr>
        <a:xfrm>
          <a:off x="28351" y="2389994"/>
          <a:ext cx="1154717" cy="220287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Operating expense</a:t>
          </a:r>
        </a:p>
      </xdr:txBody>
    </xdr:sp>
    <xdr:clientData/>
  </xdr:twoCellAnchor>
  <xdr:twoCellAnchor>
    <xdr:from>
      <xdr:col>0</xdr:col>
      <xdr:colOff>28351</xdr:colOff>
      <xdr:row>11</xdr:row>
      <xdr:rowOff>104835</xdr:rowOff>
    </xdr:from>
    <xdr:to>
      <xdr:col>1</xdr:col>
      <xdr:colOff>570747</xdr:colOff>
      <xdr:row>12</xdr:row>
      <xdr:rowOff>151769</xdr:rowOff>
    </xdr:to>
    <xdr:sp macro="" textlink="">
      <xdr:nvSpPr>
        <xdr:cNvPr id="30" name="Rectangle: Rounded Corners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0F91451-9636-B465-C78E-8D86B8C95BD6}"/>
            </a:ext>
          </a:extLst>
        </xdr:cNvPr>
        <xdr:cNvSpPr/>
      </xdr:nvSpPr>
      <xdr:spPr>
        <a:xfrm>
          <a:off x="28351" y="2785946"/>
          <a:ext cx="1153877" cy="235082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5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Cusotmer Summery</a:t>
          </a:r>
        </a:p>
      </xdr:txBody>
    </xdr:sp>
    <xdr:clientData/>
  </xdr:twoCellAnchor>
  <xdr:twoCellAnchor>
    <xdr:from>
      <xdr:col>0</xdr:col>
      <xdr:colOff>28351</xdr:colOff>
      <xdr:row>13</xdr:row>
      <xdr:rowOff>96167</xdr:rowOff>
    </xdr:from>
    <xdr:to>
      <xdr:col>1</xdr:col>
      <xdr:colOff>570747</xdr:colOff>
      <xdr:row>13</xdr:row>
      <xdr:rowOff>324529</xdr:rowOff>
    </xdr:to>
    <xdr:sp macro="" textlink="">
      <xdr:nvSpPr>
        <xdr:cNvPr id="31" name="Rectangle: Rounded Corners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E387A8A-1B4C-E7AA-3643-7794626D7E1F}"/>
            </a:ext>
          </a:extLst>
        </xdr:cNvPr>
        <xdr:cNvSpPr/>
      </xdr:nvSpPr>
      <xdr:spPr>
        <a:xfrm>
          <a:off x="28351" y="3106067"/>
          <a:ext cx="1151996" cy="228362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Inventory</a:t>
          </a:r>
        </a:p>
      </xdr:txBody>
    </xdr:sp>
    <xdr:clientData/>
  </xdr:twoCellAnchor>
  <xdr:twoCellAnchor>
    <xdr:from>
      <xdr:col>0</xdr:col>
      <xdr:colOff>28351</xdr:colOff>
      <xdr:row>13</xdr:row>
      <xdr:rowOff>439593</xdr:rowOff>
    </xdr:from>
    <xdr:to>
      <xdr:col>1</xdr:col>
      <xdr:colOff>570747</xdr:colOff>
      <xdr:row>15</xdr:row>
      <xdr:rowOff>8395</xdr:rowOff>
    </xdr:to>
    <xdr:sp macro="" textlink="">
      <xdr:nvSpPr>
        <xdr:cNvPr id="32" name="Rectangle: Rounded Corners 3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BAF3AB3-E564-C049-3B21-70A2EE2B3D95}"/>
            </a:ext>
          </a:extLst>
        </xdr:cNvPr>
        <xdr:cNvSpPr/>
      </xdr:nvSpPr>
      <xdr:spPr>
        <a:xfrm>
          <a:off x="28351" y="3449493"/>
          <a:ext cx="1151996" cy="235552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CodeKey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34792</xdr:colOff>
      <xdr:row>0</xdr:row>
      <xdr:rowOff>0</xdr:rowOff>
    </xdr:from>
    <xdr:to>
      <xdr:col>2</xdr:col>
      <xdr:colOff>12048</xdr:colOff>
      <xdr:row>6</xdr:row>
      <xdr:rowOff>78991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2775A1-93D0-4ADC-BBFF-F2CBC2AD0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92" y="0"/>
          <a:ext cx="1196456" cy="1272791"/>
        </a:xfrm>
        <a:prstGeom prst="rect">
          <a:avLst/>
        </a:prstGeom>
      </xdr:spPr>
    </xdr:pic>
    <xdr:clientData/>
  </xdr:twoCellAnchor>
  <xdr:twoCellAnchor>
    <xdr:from>
      <xdr:col>0</xdr:col>
      <xdr:colOff>28351</xdr:colOff>
      <xdr:row>6</xdr:row>
      <xdr:rowOff>130710</xdr:rowOff>
    </xdr:from>
    <xdr:to>
      <xdr:col>1</xdr:col>
      <xdr:colOff>570747</xdr:colOff>
      <xdr:row>7</xdr:row>
      <xdr:rowOff>165253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A1FAAA-0727-44FE-81F5-E401EC053005}"/>
            </a:ext>
          </a:extLst>
        </xdr:cNvPr>
        <xdr:cNvSpPr/>
      </xdr:nvSpPr>
      <xdr:spPr>
        <a:xfrm>
          <a:off x="28351" y="1323099"/>
          <a:ext cx="1149174" cy="217987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DashBoard</a:t>
          </a:r>
        </a:p>
      </xdr:txBody>
    </xdr:sp>
    <xdr:clientData/>
  </xdr:twoCellAnchor>
  <xdr:twoCellAnchor>
    <xdr:from>
      <xdr:col>0</xdr:col>
      <xdr:colOff>27561</xdr:colOff>
      <xdr:row>8</xdr:row>
      <xdr:rowOff>87838</xdr:rowOff>
    </xdr:from>
    <xdr:to>
      <xdr:col>1</xdr:col>
      <xdr:colOff>569957</xdr:colOff>
      <xdr:row>9</xdr:row>
      <xdr:rowOff>126303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5B5F0C-6B89-4337-A515-82970F677099}"/>
            </a:ext>
          </a:extLst>
        </xdr:cNvPr>
        <xdr:cNvSpPr/>
      </xdr:nvSpPr>
      <xdr:spPr>
        <a:xfrm>
          <a:off x="27561" y="1647116"/>
          <a:ext cx="1149174" cy="221909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Purchase</a:t>
          </a:r>
        </a:p>
      </xdr:txBody>
    </xdr:sp>
    <xdr:clientData/>
  </xdr:twoCellAnchor>
  <xdr:twoCellAnchor>
    <xdr:from>
      <xdr:col>0</xdr:col>
      <xdr:colOff>27561</xdr:colOff>
      <xdr:row>10</xdr:row>
      <xdr:rowOff>43235</xdr:rowOff>
    </xdr:from>
    <xdr:to>
      <xdr:col>1</xdr:col>
      <xdr:colOff>569957</xdr:colOff>
      <xdr:row>11</xdr:row>
      <xdr:rowOff>77491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32FD919-BF58-4AD1-BAEB-9D3DDB647C2C}"/>
            </a:ext>
          </a:extLst>
        </xdr:cNvPr>
        <xdr:cNvSpPr/>
      </xdr:nvSpPr>
      <xdr:spPr>
        <a:xfrm>
          <a:off x="27561" y="1969402"/>
          <a:ext cx="1149174" cy="21770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Sales</a:t>
          </a:r>
        </a:p>
      </xdr:txBody>
    </xdr:sp>
    <xdr:clientData/>
  </xdr:twoCellAnchor>
  <xdr:twoCellAnchor>
    <xdr:from>
      <xdr:col>0</xdr:col>
      <xdr:colOff>27561</xdr:colOff>
      <xdr:row>11</xdr:row>
      <xdr:rowOff>180228</xdr:rowOff>
    </xdr:from>
    <xdr:to>
      <xdr:col>1</xdr:col>
      <xdr:colOff>569957</xdr:colOff>
      <xdr:row>13</xdr:row>
      <xdr:rowOff>30571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D26B31C-9D12-46EC-A3F0-553036E14A50}"/>
            </a:ext>
          </a:extLst>
        </xdr:cNvPr>
        <xdr:cNvSpPr/>
      </xdr:nvSpPr>
      <xdr:spPr>
        <a:xfrm>
          <a:off x="27561" y="2289839"/>
          <a:ext cx="1149174" cy="217232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Operating expense</a:t>
          </a:r>
        </a:p>
      </xdr:txBody>
    </xdr:sp>
    <xdr:clientData/>
  </xdr:twoCellAnchor>
  <xdr:twoCellAnchor>
    <xdr:from>
      <xdr:col>0</xdr:col>
      <xdr:colOff>27561</xdr:colOff>
      <xdr:row>13</xdr:row>
      <xdr:rowOff>144311</xdr:rowOff>
    </xdr:from>
    <xdr:to>
      <xdr:col>1</xdr:col>
      <xdr:colOff>569957</xdr:colOff>
      <xdr:row>15</xdr:row>
      <xdr:rowOff>7799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2627811-D7C5-4F29-9A55-2B8F5D5CDE22}"/>
            </a:ext>
          </a:extLst>
        </xdr:cNvPr>
        <xdr:cNvSpPr/>
      </xdr:nvSpPr>
      <xdr:spPr>
        <a:xfrm>
          <a:off x="27561" y="2620811"/>
          <a:ext cx="1149174" cy="230377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5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Cusotmer Summery</a:t>
          </a:r>
        </a:p>
      </xdr:txBody>
    </xdr:sp>
    <xdr:clientData/>
  </xdr:twoCellAnchor>
  <xdr:twoCellAnchor>
    <xdr:from>
      <xdr:col>0</xdr:col>
      <xdr:colOff>27561</xdr:colOff>
      <xdr:row>15</xdr:row>
      <xdr:rowOff>104332</xdr:rowOff>
    </xdr:from>
    <xdr:to>
      <xdr:col>1</xdr:col>
      <xdr:colOff>569957</xdr:colOff>
      <xdr:row>16</xdr:row>
      <xdr:rowOff>107385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AAE5477-6811-4337-A003-786B5DF95F32}"/>
            </a:ext>
          </a:extLst>
        </xdr:cNvPr>
        <xdr:cNvSpPr/>
      </xdr:nvSpPr>
      <xdr:spPr>
        <a:xfrm>
          <a:off x="27561" y="2947721"/>
          <a:ext cx="1149174" cy="186497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Inventory</a:t>
          </a:r>
        </a:p>
      </xdr:txBody>
    </xdr:sp>
    <xdr:clientData/>
  </xdr:twoCellAnchor>
  <xdr:twoCellAnchor>
    <xdr:from>
      <xdr:col>0</xdr:col>
      <xdr:colOff>27561</xdr:colOff>
      <xdr:row>17</xdr:row>
      <xdr:rowOff>27515</xdr:rowOff>
    </xdr:from>
    <xdr:to>
      <xdr:col>1</xdr:col>
      <xdr:colOff>569957</xdr:colOff>
      <xdr:row>18</xdr:row>
      <xdr:rowOff>38832</xdr:rowOff>
    </xdr:to>
    <xdr:sp macro="" textlink="">
      <xdr:nvSpPr>
        <xdr:cNvPr id="9" name="Rectangle: Rounded Corner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6A9496D-991B-4F1B-BE22-9066E57F027F}"/>
            </a:ext>
          </a:extLst>
        </xdr:cNvPr>
        <xdr:cNvSpPr/>
      </xdr:nvSpPr>
      <xdr:spPr>
        <a:xfrm>
          <a:off x="27561" y="3237793"/>
          <a:ext cx="1149174" cy="194761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CodeKey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34792</xdr:colOff>
      <xdr:row>0</xdr:row>
      <xdr:rowOff>0</xdr:rowOff>
    </xdr:from>
    <xdr:to>
      <xdr:col>2</xdr:col>
      <xdr:colOff>0</xdr:colOff>
      <xdr:row>6</xdr:row>
      <xdr:rowOff>167891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E4FFE8-85CD-42AB-BCA8-DE0FD5118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92" y="0"/>
          <a:ext cx="1190384" cy="1288479"/>
        </a:xfrm>
        <a:prstGeom prst="rect">
          <a:avLst/>
        </a:prstGeom>
      </xdr:spPr>
    </xdr:pic>
    <xdr:clientData/>
  </xdr:twoCellAnchor>
  <xdr:twoCellAnchor>
    <xdr:from>
      <xdr:col>0</xdr:col>
      <xdr:colOff>13780</xdr:colOff>
      <xdr:row>9</xdr:row>
      <xdr:rowOff>13139</xdr:rowOff>
    </xdr:from>
    <xdr:to>
      <xdr:col>1</xdr:col>
      <xdr:colOff>556176</xdr:colOff>
      <xdr:row>10</xdr:row>
      <xdr:rowOff>51603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FFC105-1498-49E6-97E6-104161C6A2BD}"/>
            </a:ext>
          </a:extLst>
        </xdr:cNvPr>
        <xdr:cNvSpPr/>
      </xdr:nvSpPr>
      <xdr:spPr>
        <a:xfrm>
          <a:off x="13780" y="1694021"/>
          <a:ext cx="1154984" cy="225229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Purchase</a:t>
          </a:r>
        </a:p>
      </xdr:txBody>
    </xdr:sp>
    <xdr:clientData/>
  </xdr:twoCellAnchor>
  <xdr:twoCellAnchor>
    <xdr:from>
      <xdr:col>0</xdr:col>
      <xdr:colOff>13780</xdr:colOff>
      <xdr:row>10</xdr:row>
      <xdr:rowOff>155300</xdr:rowOff>
    </xdr:from>
    <xdr:to>
      <xdr:col>1</xdr:col>
      <xdr:colOff>556176</xdr:colOff>
      <xdr:row>12</xdr:row>
      <xdr:rowOff>2792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9BDF3B-50C6-48E2-AD47-B922E8818259}"/>
            </a:ext>
          </a:extLst>
        </xdr:cNvPr>
        <xdr:cNvSpPr/>
      </xdr:nvSpPr>
      <xdr:spPr>
        <a:xfrm>
          <a:off x="13780" y="2022947"/>
          <a:ext cx="1154984" cy="221021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Sales</a:t>
          </a:r>
        </a:p>
      </xdr:txBody>
    </xdr:sp>
    <xdr:clientData/>
  </xdr:twoCellAnchor>
  <xdr:twoCellAnchor>
    <xdr:from>
      <xdr:col>0</xdr:col>
      <xdr:colOff>13780</xdr:colOff>
      <xdr:row>12</xdr:row>
      <xdr:rowOff>105529</xdr:rowOff>
    </xdr:from>
    <xdr:to>
      <xdr:col>1</xdr:col>
      <xdr:colOff>556176</xdr:colOff>
      <xdr:row>13</xdr:row>
      <xdr:rowOff>142636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327E8C-A088-4BD4-965A-08B4A6D53DDB}"/>
            </a:ext>
          </a:extLst>
        </xdr:cNvPr>
        <xdr:cNvSpPr/>
      </xdr:nvSpPr>
      <xdr:spPr>
        <a:xfrm>
          <a:off x="13780" y="2346705"/>
          <a:ext cx="1154984" cy="223872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Operating expense</a:t>
          </a:r>
        </a:p>
      </xdr:txBody>
    </xdr:sp>
    <xdr:clientData/>
  </xdr:twoCellAnchor>
  <xdr:twoCellAnchor>
    <xdr:from>
      <xdr:col>0</xdr:col>
      <xdr:colOff>13780</xdr:colOff>
      <xdr:row>14</xdr:row>
      <xdr:rowOff>69611</xdr:rowOff>
    </xdr:from>
    <xdr:to>
      <xdr:col>1</xdr:col>
      <xdr:colOff>556176</xdr:colOff>
      <xdr:row>15</xdr:row>
      <xdr:rowOff>119864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60E0C2-621D-4F24-9135-5FEF0D975ABF}"/>
            </a:ext>
          </a:extLst>
        </xdr:cNvPr>
        <xdr:cNvSpPr/>
      </xdr:nvSpPr>
      <xdr:spPr>
        <a:xfrm>
          <a:off x="13780" y="2684317"/>
          <a:ext cx="1154984" cy="237018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5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Cusotmer Summery</a:t>
          </a:r>
        </a:p>
      </xdr:txBody>
    </xdr:sp>
    <xdr:clientData/>
  </xdr:twoCellAnchor>
  <xdr:twoCellAnchor>
    <xdr:from>
      <xdr:col>0</xdr:col>
      <xdr:colOff>13780</xdr:colOff>
      <xdr:row>16</xdr:row>
      <xdr:rowOff>29633</xdr:rowOff>
    </xdr:from>
    <xdr:to>
      <xdr:col>1</xdr:col>
      <xdr:colOff>556176</xdr:colOff>
      <xdr:row>17</xdr:row>
      <xdr:rowOff>32685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82A9BC9-DA54-497B-9E32-4D8199F58FA8}"/>
            </a:ext>
          </a:extLst>
        </xdr:cNvPr>
        <xdr:cNvSpPr/>
      </xdr:nvSpPr>
      <xdr:spPr>
        <a:xfrm>
          <a:off x="13780" y="3017868"/>
          <a:ext cx="1154984" cy="189817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Inventory</a:t>
          </a:r>
        </a:p>
      </xdr:txBody>
    </xdr:sp>
    <xdr:clientData/>
  </xdr:twoCellAnchor>
  <xdr:twoCellAnchor>
    <xdr:from>
      <xdr:col>0</xdr:col>
      <xdr:colOff>13780</xdr:colOff>
      <xdr:row>17</xdr:row>
      <xdr:rowOff>139580</xdr:rowOff>
    </xdr:from>
    <xdr:to>
      <xdr:col>1</xdr:col>
      <xdr:colOff>556176</xdr:colOff>
      <xdr:row>18</xdr:row>
      <xdr:rowOff>150897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E2023B7-CB70-49CF-AA11-389562EA5314}"/>
            </a:ext>
          </a:extLst>
        </xdr:cNvPr>
        <xdr:cNvSpPr/>
      </xdr:nvSpPr>
      <xdr:spPr>
        <a:xfrm>
          <a:off x="13780" y="3314580"/>
          <a:ext cx="1154984" cy="198082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CodeKey</a:t>
          </a:r>
        </a:p>
      </xdr:txBody>
    </xdr:sp>
    <xdr:clientData/>
  </xdr:twoCellAnchor>
  <xdr:twoCellAnchor>
    <xdr:from>
      <xdr:col>0</xdr:col>
      <xdr:colOff>13780</xdr:colOff>
      <xdr:row>7</xdr:row>
      <xdr:rowOff>56010</xdr:rowOff>
    </xdr:from>
    <xdr:to>
      <xdr:col>1</xdr:col>
      <xdr:colOff>556176</xdr:colOff>
      <xdr:row>8</xdr:row>
      <xdr:rowOff>90553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C259B51-6C53-8515-95EB-6620D641D7D2}"/>
            </a:ext>
          </a:extLst>
        </xdr:cNvPr>
        <xdr:cNvSpPr/>
      </xdr:nvSpPr>
      <xdr:spPr>
        <a:xfrm>
          <a:off x="13780" y="1363363"/>
          <a:ext cx="1154984" cy="221308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DashBoard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34792</xdr:colOff>
      <xdr:row>0</xdr:row>
      <xdr:rowOff>0</xdr:rowOff>
    </xdr:from>
    <xdr:to>
      <xdr:col>2</xdr:col>
      <xdr:colOff>12048</xdr:colOff>
      <xdr:row>6</xdr:row>
      <xdr:rowOff>53591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16578A-1AA1-4398-B890-6240DDE4E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92" y="0"/>
          <a:ext cx="1196456" cy="1272791"/>
        </a:xfrm>
        <a:prstGeom prst="rect">
          <a:avLst/>
        </a:prstGeom>
      </xdr:spPr>
    </xdr:pic>
    <xdr:clientData/>
  </xdr:twoCellAnchor>
  <xdr:twoCellAnchor>
    <xdr:from>
      <xdr:col>0</xdr:col>
      <xdr:colOff>28351</xdr:colOff>
      <xdr:row>6</xdr:row>
      <xdr:rowOff>130710</xdr:rowOff>
    </xdr:from>
    <xdr:to>
      <xdr:col>1</xdr:col>
      <xdr:colOff>570747</xdr:colOff>
      <xdr:row>7</xdr:row>
      <xdr:rowOff>165253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6238B9-DFA8-49AA-B849-2D0AE0C5E07C}"/>
            </a:ext>
          </a:extLst>
        </xdr:cNvPr>
        <xdr:cNvSpPr/>
      </xdr:nvSpPr>
      <xdr:spPr>
        <a:xfrm>
          <a:off x="28351" y="1324510"/>
          <a:ext cx="1151996" cy="218693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DashBoard</a:t>
          </a:r>
        </a:p>
      </xdr:txBody>
    </xdr:sp>
    <xdr:clientData/>
  </xdr:twoCellAnchor>
  <xdr:twoCellAnchor>
    <xdr:from>
      <xdr:col>0</xdr:col>
      <xdr:colOff>27561</xdr:colOff>
      <xdr:row>8</xdr:row>
      <xdr:rowOff>87838</xdr:rowOff>
    </xdr:from>
    <xdr:to>
      <xdr:col>1</xdr:col>
      <xdr:colOff>569957</xdr:colOff>
      <xdr:row>9</xdr:row>
      <xdr:rowOff>126303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ADC2DE6-DD36-464C-91FA-61262A74FE51}"/>
            </a:ext>
          </a:extLst>
        </xdr:cNvPr>
        <xdr:cNvSpPr/>
      </xdr:nvSpPr>
      <xdr:spPr>
        <a:xfrm>
          <a:off x="27561" y="1649938"/>
          <a:ext cx="1151996" cy="222615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Purchase</a:t>
          </a:r>
        </a:p>
      </xdr:txBody>
    </xdr:sp>
    <xdr:clientData/>
  </xdr:twoCellAnchor>
  <xdr:twoCellAnchor>
    <xdr:from>
      <xdr:col>0</xdr:col>
      <xdr:colOff>27561</xdr:colOff>
      <xdr:row>10</xdr:row>
      <xdr:rowOff>43235</xdr:rowOff>
    </xdr:from>
    <xdr:to>
      <xdr:col>1</xdr:col>
      <xdr:colOff>569957</xdr:colOff>
      <xdr:row>11</xdr:row>
      <xdr:rowOff>77491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12BED37-45AA-479B-9CD7-E77CC4D53575}"/>
            </a:ext>
          </a:extLst>
        </xdr:cNvPr>
        <xdr:cNvSpPr/>
      </xdr:nvSpPr>
      <xdr:spPr>
        <a:xfrm>
          <a:off x="27561" y="1973635"/>
          <a:ext cx="1151996" cy="218406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Sales</a:t>
          </a:r>
        </a:p>
      </xdr:txBody>
    </xdr:sp>
    <xdr:clientData/>
  </xdr:twoCellAnchor>
  <xdr:twoCellAnchor>
    <xdr:from>
      <xdr:col>0</xdr:col>
      <xdr:colOff>27561</xdr:colOff>
      <xdr:row>11</xdr:row>
      <xdr:rowOff>180228</xdr:rowOff>
    </xdr:from>
    <xdr:to>
      <xdr:col>1</xdr:col>
      <xdr:colOff>569957</xdr:colOff>
      <xdr:row>13</xdr:row>
      <xdr:rowOff>30571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269E743-DF1B-4521-BEE6-0E067059A488}"/>
            </a:ext>
          </a:extLst>
        </xdr:cNvPr>
        <xdr:cNvSpPr/>
      </xdr:nvSpPr>
      <xdr:spPr>
        <a:xfrm>
          <a:off x="27561" y="2294778"/>
          <a:ext cx="1151996" cy="218643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Operating expense</a:t>
          </a:r>
        </a:p>
      </xdr:txBody>
    </xdr:sp>
    <xdr:clientData/>
  </xdr:twoCellAnchor>
  <xdr:twoCellAnchor>
    <xdr:from>
      <xdr:col>0</xdr:col>
      <xdr:colOff>27561</xdr:colOff>
      <xdr:row>13</xdr:row>
      <xdr:rowOff>144311</xdr:rowOff>
    </xdr:from>
    <xdr:to>
      <xdr:col>1</xdr:col>
      <xdr:colOff>569957</xdr:colOff>
      <xdr:row>15</xdr:row>
      <xdr:rowOff>7799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8AB340F-6B70-4347-A989-21CAF5BC5378}"/>
            </a:ext>
          </a:extLst>
        </xdr:cNvPr>
        <xdr:cNvSpPr/>
      </xdr:nvSpPr>
      <xdr:spPr>
        <a:xfrm>
          <a:off x="27561" y="2627161"/>
          <a:ext cx="1151996" cy="231788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5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Cusotmer Summery</a:t>
          </a:r>
        </a:p>
      </xdr:txBody>
    </xdr:sp>
    <xdr:clientData/>
  </xdr:twoCellAnchor>
  <xdr:twoCellAnchor>
    <xdr:from>
      <xdr:col>0</xdr:col>
      <xdr:colOff>27561</xdr:colOff>
      <xdr:row>15</xdr:row>
      <xdr:rowOff>104332</xdr:rowOff>
    </xdr:from>
    <xdr:to>
      <xdr:col>1</xdr:col>
      <xdr:colOff>569957</xdr:colOff>
      <xdr:row>16</xdr:row>
      <xdr:rowOff>107385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9F6CE8A-62AB-4C5E-AD36-D19E6945A67A}"/>
            </a:ext>
          </a:extLst>
        </xdr:cNvPr>
        <xdr:cNvSpPr/>
      </xdr:nvSpPr>
      <xdr:spPr>
        <a:xfrm>
          <a:off x="27561" y="2955482"/>
          <a:ext cx="1151996" cy="187203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Inventory</a:t>
          </a:r>
        </a:p>
      </xdr:txBody>
    </xdr:sp>
    <xdr:clientData/>
  </xdr:twoCellAnchor>
  <xdr:twoCellAnchor>
    <xdr:from>
      <xdr:col>0</xdr:col>
      <xdr:colOff>27561</xdr:colOff>
      <xdr:row>17</xdr:row>
      <xdr:rowOff>27515</xdr:rowOff>
    </xdr:from>
    <xdr:to>
      <xdr:col>1</xdr:col>
      <xdr:colOff>569957</xdr:colOff>
      <xdr:row>18</xdr:row>
      <xdr:rowOff>38832</xdr:rowOff>
    </xdr:to>
    <xdr:sp macro="" textlink="">
      <xdr:nvSpPr>
        <xdr:cNvPr id="9" name="Rectangle: Rounded Corner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0D00870-EF1D-46D7-B527-0C8983E01EBF}"/>
            </a:ext>
          </a:extLst>
        </xdr:cNvPr>
        <xdr:cNvSpPr/>
      </xdr:nvSpPr>
      <xdr:spPr>
        <a:xfrm>
          <a:off x="27561" y="3246965"/>
          <a:ext cx="1151996" cy="195467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CodeKey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34792</xdr:colOff>
      <xdr:row>0</xdr:row>
      <xdr:rowOff>0</xdr:rowOff>
    </xdr:from>
    <xdr:to>
      <xdr:col>2</xdr:col>
      <xdr:colOff>12048</xdr:colOff>
      <xdr:row>6</xdr:row>
      <xdr:rowOff>78991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003460-85E9-4F67-9FCF-C3E9D4A03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92" y="0"/>
          <a:ext cx="1196456" cy="1272791"/>
        </a:xfrm>
        <a:prstGeom prst="rect">
          <a:avLst/>
        </a:prstGeom>
      </xdr:spPr>
    </xdr:pic>
    <xdr:clientData/>
  </xdr:twoCellAnchor>
  <xdr:twoCellAnchor>
    <xdr:from>
      <xdr:col>0</xdr:col>
      <xdr:colOff>28351</xdr:colOff>
      <xdr:row>6</xdr:row>
      <xdr:rowOff>149760</xdr:rowOff>
    </xdr:from>
    <xdr:to>
      <xdr:col>1</xdr:col>
      <xdr:colOff>570747</xdr:colOff>
      <xdr:row>8</xdr:row>
      <xdr:rowOff>153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97B6D5-6759-46BE-A52A-03EC307D17AC}"/>
            </a:ext>
          </a:extLst>
        </xdr:cNvPr>
        <xdr:cNvSpPr/>
      </xdr:nvSpPr>
      <xdr:spPr>
        <a:xfrm>
          <a:off x="28351" y="1343560"/>
          <a:ext cx="1151996" cy="218693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DashBoard</a:t>
          </a:r>
        </a:p>
      </xdr:txBody>
    </xdr:sp>
    <xdr:clientData/>
  </xdr:twoCellAnchor>
  <xdr:twoCellAnchor>
    <xdr:from>
      <xdr:col>0</xdr:col>
      <xdr:colOff>27561</xdr:colOff>
      <xdr:row>8</xdr:row>
      <xdr:rowOff>106888</xdr:rowOff>
    </xdr:from>
    <xdr:to>
      <xdr:col>1</xdr:col>
      <xdr:colOff>569957</xdr:colOff>
      <xdr:row>9</xdr:row>
      <xdr:rowOff>145353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88EFF4-BA3D-4773-8B81-7D4BE9F2ACFE}"/>
            </a:ext>
          </a:extLst>
        </xdr:cNvPr>
        <xdr:cNvSpPr/>
      </xdr:nvSpPr>
      <xdr:spPr>
        <a:xfrm>
          <a:off x="27561" y="1668988"/>
          <a:ext cx="1151996" cy="222615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Purchase</a:t>
          </a:r>
        </a:p>
      </xdr:txBody>
    </xdr:sp>
    <xdr:clientData/>
  </xdr:twoCellAnchor>
  <xdr:twoCellAnchor>
    <xdr:from>
      <xdr:col>0</xdr:col>
      <xdr:colOff>27561</xdr:colOff>
      <xdr:row>10</xdr:row>
      <xdr:rowOff>62285</xdr:rowOff>
    </xdr:from>
    <xdr:to>
      <xdr:col>1</xdr:col>
      <xdr:colOff>569957</xdr:colOff>
      <xdr:row>11</xdr:row>
      <xdr:rowOff>96541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20689B0-EFCE-44FF-A87E-C1608410616F}"/>
            </a:ext>
          </a:extLst>
        </xdr:cNvPr>
        <xdr:cNvSpPr/>
      </xdr:nvSpPr>
      <xdr:spPr>
        <a:xfrm>
          <a:off x="27561" y="1992685"/>
          <a:ext cx="1151996" cy="218406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Sales</a:t>
          </a:r>
        </a:p>
      </xdr:txBody>
    </xdr:sp>
    <xdr:clientData/>
  </xdr:twoCellAnchor>
  <xdr:twoCellAnchor>
    <xdr:from>
      <xdr:col>0</xdr:col>
      <xdr:colOff>27561</xdr:colOff>
      <xdr:row>12</xdr:row>
      <xdr:rowOff>15128</xdr:rowOff>
    </xdr:from>
    <xdr:to>
      <xdr:col>1</xdr:col>
      <xdr:colOff>569957</xdr:colOff>
      <xdr:row>13</xdr:row>
      <xdr:rowOff>49621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2220111-045E-413D-8FF9-645FB8832094}"/>
            </a:ext>
          </a:extLst>
        </xdr:cNvPr>
        <xdr:cNvSpPr/>
      </xdr:nvSpPr>
      <xdr:spPr>
        <a:xfrm>
          <a:off x="27561" y="2313828"/>
          <a:ext cx="1151996" cy="218643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Operating expense</a:t>
          </a:r>
        </a:p>
      </xdr:txBody>
    </xdr:sp>
    <xdr:clientData/>
  </xdr:twoCellAnchor>
  <xdr:twoCellAnchor>
    <xdr:from>
      <xdr:col>0</xdr:col>
      <xdr:colOff>27561</xdr:colOff>
      <xdr:row>13</xdr:row>
      <xdr:rowOff>163361</xdr:rowOff>
    </xdr:from>
    <xdr:to>
      <xdr:col>1</xdr:col>
      <xdr:colOff>569957</xdr:colOff>
      <xdr:row>15</xdr:row>
      <xdr:rowOff>26849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F05B31-28F0-4A70-B7F1-D5624657F2D6}"/>
            </a:ext>
          </a:extLst>
        </xdr:cNvPr>
        <xdr:cNvSpPr/>
      </xdr:nvSpPr>
      <xdr:spPr>
        <a:xfrm>
          <a:off x="27561" y="2646211"/>
          <a:ext cx="1151996" cy="231788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5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Cusotmer Summery</a:t>
          </a:r>
        </a:p>
      </xdr:txBody>
    </xdr:sp>
    <xdr:clientData/>
  </xdr:twoCellAnchor>
  <xdr:twoCellAnchor>
    <xdr:from>
      <xdr:col>0</xdr:col>
      <xdr:colOff>27561</xdr:colOff>
      <xdr:row>15</xdr:row>
      <xdr:rowOff>123382</xdr:rowOff>
    </xdr:from>
    <xdr:to>
      <xdr:col>1</xdr:col>
      <xdr:colOff>569957</xdr:colOff>
      <xdr:row>16</xdr:row>
      <xdr:rowOff>126435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67A80B2-3CAB-420D-847C-3CD2F954ED81}"/>
            </a:ext>
          </a:extLst>
        </xdr:cNvPr>
        <xdr:cNvSpPr/>
      </xdr:nvSpPr>
      <xdr:spPr>
        <a:xfrm>
          <a:off x="27561" y="2974532"/>
          <a:ext cx="1151996" cy="187203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Inventory</a:t>
          </a:r>
        </a:p>
      </xdr:txBody>
    </xdr:sp>
    <xdr:clientData/>
  </xdr:twoCellAnchor>
  <xdr:twoCellAnchor>
    <xdr:from>
      <xdr:col>0</xdr:col>
      <xdr:colOff>27561</xdr:colOff>
      <xdr:row>17</xdr:row>
      <xdr:rowOff>46565</xdr:rowOff>
    </xdr:from>
    <xdr:to>
      <xdr:col>1</xdr:col>
      <xdr:colOff>569957</xdr:colOff>
      <xdr:row>18</xdr:row>
      <xdr:rowOff>57882</xdr:rowOff>
    </xdr:to>
    <xdr:sp macro="" textlink="">
      <xdr:nvSpPr>
        <xdr:cNvPr id="9" name="Rectangle: Rounded Corner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240F709-39C3-4C04-AC38-0C0F5043DA44}"/>
            </a:ext>
          </a:extLst>
        </xdr:cNvPr>
        <xdr:cNvSpPr/>
      </xdr:nvSpPr>
      <xdr:spPr>
        <a:xfrm>
          <a:off x="27561" y="3266015"/>
          <a:ext cx="1151996" cy="195467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CodeKey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34792</xdr:colOff>
      <xdr:row>0</xdr:row>
      <xdr:rowOff>0</xdr:rowOff>
    </xdr:from>
    <xdr:to>
      <xdr:col>2</xdr:col>
      <xdr:colOff>12048</xdr:colOff>
      <xdr:row>6</xdr:row>
      <xdr:rowOff>98041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764467-2E62-4E65-B873-4766EEDA0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92" y="0"/>
          <a:ext cx="1196456" cy="1272791"/>
        </a:xfrm>
        <a:prstGeom prst="rect">
          <a:avLst/>
        </a:prstGeom>
      </xdr:spPr>
    </xdr:pic>
    <xdr:clientData/>
  </xdr:twoCellAnchor>
  <xdr:twoCellAnchor>
    <xdr:from>
      <xdr:col>0</xdr:col>
      <xdr:colOff>28351</xdr:colOff>
      <xdr:row>6</xdr:row>
      <xdr:rowOff>162460</xdr:rowOff>
    </xdr:from>
    <xdr:to>
      <xdr:col>1</xdr:col>
      <xdr:colOff>570747</xdr:colOff>
      <xdr:row>8</xdr:row>
      <xdr:rowOff>12853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9469AB-91BD-4941-9C95-C8D959883BE2}"/>
            </a:ext>
          </a:extLst>
        </xdr:cNvPr>
        <xdr:cNvSpPr/>
      </xdr:nvSpPr>
      <xdr:spPr>
        <a:xfrm>
          <a:off x="28351" y="1337210"/>
          <a:ext cx="1151996" cy="218693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DashBoard</a:t>
          </a:r>
        </a:p>
      </xdr:txBody>
    </xdr:sp>
    <xdr:clientData/>
  </xdr:twoCellAnchor>
  <xdr:twoCellAnchor>
    <xdr:from>
      <xdr:col>0</xdr:col>
      <xdr:colOff>27561</xdr:colOff>
      <xdr:row>8</xdr:row>
      <xdr:rowOff>119588</xdr:rowOff>
    </xdr:from>
    <xdr:to>
      <xdr:col>1</xdr:col>
      <xdr:colOff>569957</xdr:colOff>
      <xdr:row>9</xdr:row>
      <xdr:rowOff>158053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EF10A8-0F89-41E6-901B-DD07E652AD0B}"/>
            </a:ext>
          </a:extLst>
        </xdr:cNvPr>
        <xdr:cNvSpPr/>
      </xdr:nvSpPr>
      <xdr:spPr>
        <a:xfrm>
          <a:off x="27561" y="1662638"/>
          <a:ext cx="1151996" cy="222615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Purchase</a:t>
          </a:r>
        </a:p>
      </xdr:txBody>
    </xdr:sp>
    <xdr:clientData/>
  </xdr:twoCellAnchor>
  <xdr:twoCellAnchor>
    <xdr:from>
      <xdr:col>0</xdr:col>
      <xdr:colOff>27561</xdr:colOff>
      <xdr:row>10</xdr:row>
      <xdr:rowOff>74985</xdr:rowOff>
    </xdr:from>
    <xdr:to>
      <xdr:col>1</xdr:col>
      <xdr:colOff>569957</xdr:colOff>
      <xdr:row>11</xdr:row>
      <xdr:rowOff>109241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5D8E454-F508-4DEA-A4C5-B1BF1E40066C}"/>
            </a:ext>
          </a:extLst>
        </xdr:cNvPr>
        <xdr:cNvSpPr/>
      </xdr:nvSpPr>
      <xdr:spPr>
        <a:xfrm>
          <a:off x="27561" y="1986335"/>
          <a:ext cx="1151996" cy="218406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Sales</a:t>
          </a:r>
        </a:p>
      </xdr:txBody>
    </xdr:sp>
    <xdr:clientData/>
  </xdr:twoCellAnchor>
  <xdr:twoCellAnchor>
    <xdr:from>
      <xdr:col>0</xdr:col>
      <xdr:colOff>27561</xdr:colOff>
      <xdr:row>12</xdr:row>
      <xdr:rowOff>27828</xdr:rowOff>
    </xdr:from>
    <xdr:to>
      <xdr:col>1</xdr:col>
      <xdr:colOff>569957</xdr:colOff>
      <xdr:row>13</xdr:row>
      <xdr:rowOff>62321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D1F4280-04C0-427E-AA06-08BBDD023CFB}"/>
            </a:ext>
          </a:extLst>
        </xdr:cNvPr>
        <xdr:cNvSpPr/>
      </xdr:nvSpPr>
      <xdr:spPr>
        <a:xfrm>
          <a:off x="27561" y="2307478"/>
          <a:ext cx="1151996" cy="218643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Operating expense</a:t>
          </a:r>
        </a:p>
      </xdr:txBody>
    </xdr:sp>
    <xdr:clientData/>
  </xdr:twoCellAnchor>
  <xdr:twoCellAnchor>
    <xdr:from>
      <xdr:col>0</xdr:col>
      <xdr:colOff>27561</xdr:colOff>
      <xdr:row>13</xdr:row>
      <xdr:rowOff>176061</xdr:rowOff>
    </xdr:from>
    <xdr:to>
      <xdr:col>1</xdr:col>
      <xdr:colOff>569957</xdr:colOff>
      <xdr:row>15</xdr:row>
      <xdr:rowOff>39549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56D6B73-C432-44ED-8895-9403B5F7B2C3}"/>
            </a:ext>
          </a:extLst>
        </xdr:cNvPr>
        <xdr:cNvSpPr/>
      </xdr:nvSpPr>
      <xdr:spPr>
        <a:xfrm>
          <a:off x="27561" y="2639861"/>
          <a:ext cx="1151996" cy="231788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5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Cusotmer Summery</a:t>
          </a:r>
        </a:p>
      </xdr:txBody>
    </xdr:sp>
    <xdr:clientData/>
  </xdr:twoCellAnchor>
  <xdr:twoCellAnchor>
    <xdr:from>
      <xdr:col>0</xdr:col>
      <xdr:colOff>27561</xdr:colOff>
      <xdr:row>15</xdr:row>
      <xdr:rowOff>136082</xdr:rowOff>
    </xdr:from>
    <xdr:to>
      <xdr:col>1</xdr:col>
      <xdr:colOff>569957</xdr:colOff>
      <xdr:row>16</xdr:row>
      <xdr:rowOff>139135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585576-6630-46BD-9B61-39CF181BEA2D}"/>
            </a:ext>
          </a:extLst>
        </xdr:cNvPr>
        <xdr:cNvSpPr/>
      </xdr:nvSpPr>
      <xdr:spPr>
        <a:xfrm>
          <a:off x="27561" y="2968182"/>
          <a:ext cx="1151996" cy="187203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Inventory</a:t>
          </a:r>
        </a:p>
      </xdr:txBody>
    </xdr:sp>
    <xdr:clientData/>
  </xdr:twoCellAnchor>
  <xdr:twoCellAnchor>
    <xdr:from>
      <xdr:col>0</xdr:col>
      <xdr:colOff>27561</xdr:colOff>
      <xdr:row>17</xdr:row>
      <xdr:rowOff>59265</xdr:rowOff>
    </xdr:from>
    <xdr:to>
      <xdr:col>1</xdr:col>
      <xdr:colOff>569957</xdr:colOff>
      <xdr:row>18</xdr:row>
      <xdr:rowOff>70582</xdr:rowOff>
    </xdr:to>
    <xdr:sp macro="" textlink="">
      <xdr:nvSpPr>
        <xdr:cNvPr id="9" name="Rectangle: Rounded Corner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A3E3820-CA79-4BD5-BF09-613D27CF1393}"/>
            </a:ext>
          </a:extLst>
        </xdr:cNvPr>
        <xdr:cNvSpPr/>
      </xdr:nvSpPr>
      <xdr:spPr>
        <a:xfrm>
          <a:off x="27561" y="3259665"/>
          <a:ext cx="1151996" cy="195467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CodeKey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34792</xdr:colOff>
      <xdr:row>0</xdr:row>
      <xdr:rowOff>1</xdr:rowOff>
    </xdr:from>
    <xdr:to>
      <xdr:col>1</xdr:col>
      <xdr:colOff>400050</xdr:colOff>
      <xdr:row>4</xdr:row>
      <xdr:rowOff>25401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E26E83-FD93-4083-9125-027C71BB5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92" y="1"/>
          <a:ext cx="974858" cy="762000"/>
        </a:xfrm>
        <a:prstGeom prst="rect">
          <a:avLst/>
        </a:prstGeom>
      </xdr:spPr>
    </xdr:pic>
    <xdr:clientData/>
  </xdr:twoCellAnchor>
  <xdr:twoCellAnchor>
    <xdr:from>
      <xdr:col>0</xdr:col>
      <xdr:colOff>13780</xdr:colOff>
      <xdr:row>6</xdr:row>
      <xdr:rowOff>59151</xdr:rowOff>
    </xdr:from>
    <xdr:to>
      <xdr:col>1</xdr:col>
      <xdr:colOff>403776</xdr:colOff>
      <xdr:row>7</xdr:row>
      <xdr:rowOff>97615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EA6FBC-5674-4677-88DF-A15BEF242487}"/>
            </a:ext>
          </a:extLst>
        </xdr:cNvPr>
        <xdr:cNvSpPr/>
      </xdr:nvSpPr>
      <xdr:spPr>
        <a:xfrm>
          <a:off x="13780" y="1163499"/>
          <a:ext cx="997387" cy="222522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Purchase</a:t>
          </a:r>
        </a:p>
      </xdr:txBody>
    </xdr:sp>
    <xdr:clientData/>
  </xdr:twoCellAnchor>
  <xdr:twoCellAnchor>
    <xdr:from>
      <xdr:col>0</xdr:col>
      <xdr:colOff>13780</xdr:colOff>
      <xdr:row>8</xdr:row>
      <xdr:rowOff>17254</xdr:rowOff>
    </xdr:from>
    <xdr:to>
      <xdr:col>1</xdr:col>
      <xdr:colOff>403776</xdr:colOff>
      <xdr:row>9</xdr:row>
      <xdr:rowOff>48804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1A2EC0-13B8-49DE-8382-F6C218E29341}"/>
            </a:ext>
          </a:extLst>
        </xdr:cNvPr>
        <xdr:cNvSpPr/>
      </xdr:nvSpPr>
      <xdr:spPr>
        <a:xfrm>
          <a:off x="13780" y="1489718"/>
          <a:ext cx="997387" cy="215608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Sales</a:t>
          </a:r>
        </a:p>
      </xdr:txBody>
    </xdr:sp>
    <xdr:clientData/>
  </xdr:twoCellAnchor>
  <xdr:twoCellAnchor>
    <xdr:from>
      <xdr:col>0</xdr:col>
      <xdr:colOff>13780</xdr:colOff>
      <xdr:row>9</xdr:row>
      <xdr:rowOff>151541</xdr:rowOff>
    </xdr:from>
    <xdr:to>
      <xdr:col>1</xdr:col>
      <xdr:colOff>403776</xdr:colOff>
      <xdr:row>11</xdr:row>
      <xdr:rowOff>4590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B32185-3D10-48F1-A824-0B681666A014}"/>
            </a:ext>
          </a:extLst>
        </xdr:cNvPr>
        <xdr:cNvSpPr/>
      </xdr:nvSpPr>
      <xdr:spPr>
        <a:xfrm>
          <a:off x="13780" y="1808063"/>
          <a:ext cx="997387" cy="221165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Operating expense</a:t>
          </a:r>
        </a:p>
      </xdr:txBody>
    </xdr:sp>
    <xdr:clientData/>
  </xdr:twoCellAnchor>
  <xdr:twoCellAnchor>
    <xdr:from>
      <xdr:col>0</xdr:col>
      <xdr:colOff>13780</xdr:colOff>
      <xdr:row>11</xdr:row>
      <xdr:rowOff>115623</xdr:rowOff>
    </xdr:from>
    <xdr:to>
      <xdr:col>1</xdr:col>
      <xdr:colOff>403776</xdr:colOff>
      <xdr:row>12</xdr:row>
      <xdr:rowOff>165876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275C41-E8D0-49B5-BECC-5AF799A17036}"/>
            </a:ext>
          </a:extLst>
        </xdr:cNvPr>
        <xdr:cNvSpPr/>
      </xdr:nvSpPr>
      <xdr:spPr>
        <a:xfrm>
          <a:off x="13780" y="2140261"/>
          <a:ext cx="997387" cy="234311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5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Cusotmer Summery</a:t>
          </a:r>
        </a:p>
      </xdr:txBody>
    </xdr:sp>
    <xdr:clientData/>
  </xdr:twoCellAnchor>
  <xdr:twoCellAnchor>
    <xdr:from>
      <xdr:col>0</xdr:col>
      <xdr:colOff>13780</xdr:colOff>
      <xdr:row>13</xdr:row>
      <xdr:rowOff>75645</xdr:rowOff>
    </xdr:from>
    <xdr:to>
      <xdr:col>1</xdr:col>
      <xdr:colOff>403776</xdr:colOff>
      <xdr:row>14</xdr:row>
      <xdr:rowOff>78697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7AB39DC-B6CD-4EB8-B97A-CF939E2E1B67}"/>
            </a:ext>
          </a:extLst>
        </xdr:cNvPr>
        <xdr:cNvSpPr/>
      </xdr:nvSpPr>
      <xdr:spPr>
        <a:xfrm>
          <a:off x="13780" y="2468399"/>
          <a:ext cx="997387" cy="18711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Inventory</a:t>
          </a:r>
        </a:p>
      </xdr:txBody>
    </xdr:sp>
    <xdr:clientData/>
  </xdr:twoCellAnchor>
  <xdr:twoCellAnchor>
    <xdr:from>
      <xdr:col>0</xdr:col>
      <xdr:colOff>13780</xdr:colOff>
      <xdr:row>15</xdr:row>
      <xdr:rowOff>1534</xdr:rowOff>
    </xdr:from>
    <xdr:to>
      <xdr:col>1</xdr:col>
      <xdr:colOff>403776</xdr:colOff>
      <xdr:row>16</xdr:row>
      <xdr:rowOff>12850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7800A0E-2E1A-4F87-B8C4-C9794E0334EA}"/>
            </a:ext>
          </a:extLst>
        </xdr:cNvPr>
        <xdr:cNvSpPr/>
      </xdr:nvSpPr>
      <xdr:spPr>
        <a:xfrm>
          <a:off x="13780" y="2762404"/>
          <a:ext cx="997387" cy="195374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CodeKey</a:t>
          </a:r>
        </a:p>
      </xdr:txBody>
    </xdr:sp>
    <xdr:clientData/>
  </xdr:twoCellAnchor>
  <xdr:twoCellAnchor>
    <xdr:from>
      <xdr:col>0</xdr:col>
      <xdr:colOff>13780</xdr:colOff>
      <xdr:row>4</xdr:row>
      <xdr:rowOff>102022</xdr:rowOff>
    </xdr:from>
    <xdr:to>
      <xdr:col>1</xdr:col>
      <xdr:colOff>403776</xdr:colOff>
      <xdr:row>5</xdr:row>
      <xdr:rowOff>136565</xdr:rowOff>
    </xdr:to>
    <xdr:sp macro="" textlink="">
      <xdr:nvSpPr>
        <xdr:cNvPr id="9" name="Rectangle: Rounded Corner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E5F00D9-49A5-46EB-809C-DDB52DD0581E}"/>
            </a:ext>
          </a:extLst>
        </xdr:cNvPr>
        <xdr:cNvSpPr/>
      </xdr:nvSpPr>
      <xdr:spPr>
        <a:xfrm>
          <a:off x="13780" y="838254"/>
          <a:ext cx="997387" cy="218601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  <a:effectLst>
          <a:glow rad="635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Arial Narrow" panose="020B0606020202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DashBoard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Purchases" displayName="Table_Purchases" ref="C1:I32" headerRowDxfId="41" dataDxfId="39" totalsRowDxfId="40">
  <autoFilter ref="C1:I3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100-000001000000}" name="Date" dataDxfId="46"/>
    <tableColumn id="2" xr3:uid="{00000000-0010-0000-0100-000002000000}" name="Purchase Invoice No" dataDxfId="45"/>
    <tableColumn id="3" xr3:uid="{00000000-0010-0000-0100-000003000000}" name="Product ID" dataDxfId="38">
      <calculatedColumnFormula>_xlfn.XLOOKUP(Table_Purchases[[#This Row],[Product Name]],Table6[Prodcuts],Table6[Product ID]," ")</calculatedColumnFormula>
    </tableColumn>
    <tableColumn id="4" xr3:uid="{00000000-0010-0000-0100-000004000000}" name="Product Name" dataDxfId="44"/>
    <tableColumn id="5" xr3:uid="{00000000-0010-0000-0100-000005000000}" name="Quantity Purchased" dataDxfId="43"/>
    <tableColumn id="6" xr3:uid="{00000000-0010-0000-0100-000006000000}" name="Unit Cost" dataDxfId="42"/>
    <tableColumn id="7" xr3:uid="{00000000-0010-0000-0100-000007000000}" name="Total Purchase Cost" dataDxfId="37">
      <calculatedColumnFormula>IF(AND(G2&gt;0,H2&gt;0),G2*H2," 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Products" displayName="Table_Products" ref="C1:K16" headerRowDxfId="33" dataDxfId="31" totalsRowDxfId="32">
  <autoFilter ref="C1:K1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000-000001000000}" name="Product ID" dataDxfId="26">
      <calculatedColumnFormula>_xlfn.XLOOKUP(Table_Products[[#This Row],[Product Name]],Table6[Prodcuts],Table6[Product ID]," ")</calculatedColumnFormula>
    </tableColumn>
    <tableColumn id="2" xr3:uid="{00000000-0010-0000-0000-000002000000}" name="Product Name" dataDxfId="36"/>
    <tableColumn id="6" xr3:uid="{00000000-0010-0000-0000-000006000000}" name="Cost Code" dataDxfId="35"/>
    <tableColumn id="7" xr3:uid="{00000000-0010-0000-0000-000007000000}" name="Cost Price" dataDxfId="25">
      <calculatedColumnFormula>IF(Table_Products[[#This Row],[Cost Code]]&gt;" ",VALUE(
_xlfn.XLOOKUP(MID(Table_Products[[#This Row],[Cost Code]],1,1),'CodeKey'!C:C,'CodeKey'!D:D)&amp;
_xlfn.XLOOKUP(MID(Table_Products[[#This Row],[Cost Code]],2,1),'CodeKey'!C:C,'CodeKey'!D:D)&amp;
_xlfn.XLOOKUP(MID(Table_Products[[#This Row],[Cost Code]],3,1),'CodeKey'!C:C,'CodeKey'!D:D)
)," ")</calculatedColumnFormula>
    </tableColumn>
    <tableColumn id="8" xr3:uid="{00000000-0010-0000-0000-000008000000}" name="Selling Price" dataDxfId="24">
      <calculatedColumnFormula>IFERROR(IF(AND(Table_Products[[#This Row],[Cost Price]]&gt;0),Table_Products[[#This Row],[Cost Price]]+(Table_Products[[#This Row],[Cost Price]]*50%)," ")," ")</calculatedColumnFormula>
    </tableColumn>
    <tableColumn id="9" xr3:uid="{00000000-0010-0000-0000-000009000000}" name="Opening Stock" dataDxfId="34"/>
    <tableColumn id="3" xr3:uid="{7343A13B-9071-4AA4-9952-3DFC1014AEC7}" name="Quantity Sold" dataDxfId="23">
      <calculatedColumnFormula>IF(SUMIFS(Table_Sales[Quantity Sold],Table_Sales[Product Name],Table_Products[[#This Row],[Product Name]])=0," ",SUMIFS(Table_Sales[Quantity Sold],Table_Sales[Product Name],Table_Products[[#This Row],[Product Name]]))</calculatedColumnFormula>
    </tableColumn>
    <tableColumn id="4" xr3:uid="{E1106A8B-0F00-412D-8124-2D3A6CDBB310}" name="Current Inventory" dataDxfId="22">
      <calculatedColumnFormula>IFERROR(IF(AND(Table_Products[[#This Row],[Opening Stock]]&gt;0,Table_Products[[#This Row],[Quantity Sold]]&gt;0),Table_Products[[#This Row],[Opening Stock]]-Table_Products[[#This Row],[Quantity Sold]]," ")," ")</calculatedColumnFormula>
    </tableColumn>
    <tableColumn id="5" xr3:uid="{058B0908-C560-4844-87A5-7AE8D4EE06DE}" name="Current InventoryValue" dataDxfId="21">
      <calculatedColumnFormula>IFERROR(IF(AND(Table_Products[[#This Row],[Cost Price]]&gt;0,Table_Products[[#This Row],[Current Inventory]]&gt;0),Table_Products[[#This Row],[Current Inventory]]*Table_Products[[#This Row],[Cost Price]]," ")," ")</calculatedColumnFormula>
    </tableColumn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66BA24-E4B5-4A40-8854-FE3D41B8B196}" name="Table6" displayName="Table6" ref="S2:T12" totalsRowShown="0" headerRowDxfId="28" dataDxfId="27">
  <autoFilter ref="S2:T12" xr:uid="{D466BA24-E4B5-4A40-8854-FE3D41B8B196}">
    <filterColumn colId="0" hiddenButton="1"/>
    <filterColumn colId="1" hiddenButton="1"/>
  </autoFilter>
  <tableColumns count="2">
    <tableColumn id="1" xr3:uid="{2E92728C-F228-404C-8749-662F4976E951}" name="Prodcuts" dataDxfId="30"/>
    <tableColumn id="2" xr3:uid="{04A0E055-E69C-4770-A088-0412195E25E0}" name="Product ID" dataDxfId="2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Sales" displayName="Table_Sales" ref="C1:M201" headerRowDxfId="13" dataDxfId="11" totalsRowDxfId="12">
  <autoFilter ref="C1:M201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200-000001000000}" name="Date" dataDxfId="20"/>
    <tableColumn id="2" xr3:uid="{00000000-0010-0000-0200-000002000000}" name="Sales Invoice No" dataDxfId="19"/>
    <tableColumn id="3" xr3:uid="{00000000-0010-0000-0200-000003000000}" name="Customer Name" dataDxfId="18"/>
    <tableColumn id="4" xr3:uid="{00000000-0010-0000-0200-000004000000}" name="Phone Number" dataDxfId="17"/>
    <tableColumn id="5" xr3:uid="{00000000-0010-0000-0200-000005000000}" name="Product ID" dataDxfId="10">
      <calculatedColumnFormula>_xlfn.XLOOKUP(Table_Sales[[#This Row],[Product Name]],Table6[Prodcuts],Table6[Product ID]," ")</calculatedColumnFormula>
    </tableColumn>
    <tableColumn id="6" xr3:uid="{00000000-0010-0000-0200-000006000000}" name="Product Name" dataDxfId="16"/>
    <tableColumn id="7" xr3:uid="{00000000-0010-0000-0200-000007000000}" name="Quantity Sold" dataDxfId="15"/>
    <tableColumn id="8" xr3:uid="{00000000-0010-0000-0200-000008000000}" name="Selling Price" dataDxfId="14"/>
    <tableColumn id="9" xr3:uid="{00000000-0010-0000-0200-000009000000}" name="Revenue" dataDxfId="9">
      <calculatedColumnFormula>IF(AND(Table_Sales[[#This Row],[Quantity Sold]]&gt;0,Table_Sales[[#This Row],[Selling Price]]&gt;0),Table_Sales[[#This Row],[Quantity Sold]]*Table_Sales[[#This Row],[Selling Price]]," ")</calculatedColumnFormula>
    </tableColumn>
    <tableColumn id="10" xr3:uid="{00000000-0010-0000-0200-00000A000000}" name="Cost of Goods Sold" dataDxfId="8">
      <calculatedColumnFormula>IF(AND(Table_Sales[[#This Row],[Quantity Sold]]&gt;0,_xlfn.XLOOKUP(Table_Sales[[#This Row],[Product Name]],Inventory!D:D,Inventory!F:F)&gt;0),I2*_xlfn.XLOOKUP(Table_Sales[[#This Row],[Product Name]],Inventory!D:D,Inventory!F:F)," ")</calculatedColumnFormula>
    </tableColumn>
    <tableColumn id="11" xr3:uid="{00000000-0010-0000-0200-00000B000000}" name="Gross Profit" dataDxfId="7">
      <calculatedColumnFormula>IFERROR(
IF(AND(Table_Sales[[#This Row],[Revenue]]&gt;0,Table_Sales[[#This Row],[Cost of Goods Sold]]&gt;0),
Table_Sales[[#This Row],[Revenue]]-Table_Sales[[#This Row],[Cost of Goods Sold]],
""),
"")</calculatedColumn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Operating_Expenses" displayName="Table_Operating_Expenses" ref="C1:F2" headerRowDxfId="53" dataDxfId="52" totalsRowDxfId="51">
  <autoFilter ref="C1:F2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300-000001000000}" name="Date" dataDxfId="50"/>
    <tableColumn id="2" xr3:uid="{00000000-0010-0000-0300-000002000000}" name="Expense Category" dataDxfId="49"/>
    <tableColumn id="3" xr3:uid="{00000000-0010-0000-0300-000003000000}" name="Description" dataDxfId="48"/>
    <tableColumn id="4" xr3:uid="{00000000-0010-0000-0300-000004000000}" name="Amount" dataDxfId="4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Customer_Summary" displayName="Table_Customer_Summary" ref="C1:F2" headerRowDxfId="4" dataDxfId="2" totalsRowDxfId="3">
  <autoFilter ref="C1:F2" xr:uid="{00000000-0009-0000-0100-000005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400-000001000000}" name="Customer Name" dataDxfId="6"/>
    <tableColumn id="2" xr3:uid="{00000000-0010-0000-0400-000002000000}" name="Phone Number" dataDxfId="5"/>
    <tableColumn id="3" xr3:uid="{00000000-0010-0000-0400-000003000000}" name="Number of Purchases" dataDxfId="1">
      <calculatedColumnFormula>COUNTIF(Sales!E:E,C2)</calculatedColumnFormula>
    </tableColumn>
    <tableColumn id="4" xr3:uid="{00000000-0010-0000-0400-000004000000}" name="Total Revenue Generated" dataDxfId="0">
      <calculatedColumnFormula>SUMIF(Sales!E:E,C2,Sales!K:K)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A8295D-A774-4D67-BC95-E9142E7DF843}" name="CodeKey" displayName="CodeKey" ref="E6:F16" totalsRowShown="0">
  <autoFilter ref="E6:F16" xr:uid="{70A8295D-A774-4D67-BC95-E9142E7DF843}">
    <filterColumn colId="0" hiddenButton="1"/>
    <filterColumn colId="1" hiddenButton="1"/>
  </autoFilter>
  <tableColumns count="2">
    <tableColumn id="1" xr3:uid="{904331E2-4F4F-435C-8D3A-737756F579A7}" name="Letter"/>
    <tableColumn id="2" xr3:uid="{F6226AE2-E649-4FE6-A11B-FF13416B1DBE}" name="Number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A6BD-E488-449E-9F6F-C29A886189D0}">
  <sheetPr>
    <tabColor theme="9"/>
  </sheetPr>
  <dimension ref="A1:U41"/>
  <sheetViews>
    <sheetView showGridLines="0" tabSelected="1" zoomScale="90" zoomScaleNormal="90" workbookViewId="0"/>
  </sheetViews>
  <sheetFormatPr defaultRowHeight="14.5" x14ac:dyDescent="0.35"/>
  <cols>
    <col min="1" max="2" width="8.7265625" style="30"/>
    <col min="3" max="11" width="8.7265625" style="23"/>
    <col min="12" max="12" width="3.6328125" style="23" customWidth="1"/>
    <col min="13" max="13" width="8.7265625" style="23"/>
    <col min="14" max="14" width="10.7265625" style="23" customWidth="1"/>
    <col min="15" max="17" width="8.7265625" style="23"/>
    <col min="18" max="18" width="2.453125" style="23" customWidth="1"/>
    <col min="19" max="21" width="8.7265625" style="23"/>
    <col min="22" max="16384" width="8.7265625" style="6"/>
  </cols>
  <sheetData>
    <row r="1" spans="1:21" ht="37" customHeight="1" x14ac:dyDescent="0.35">
      <c r="A1" s="29"/>
      <c r="B1" s="29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1" x14ac:dyDescent="0.35">
      <c r="A2" s="29"/>
      <c r="B2" s="29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1" x14ac:dyDescent="0.35">
      <c r="A3" s="29"/>
      <c r="B3" s="29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 x14ac:dyDescent="0.35">
      <c r="A4" s="29"/>
      <c r="B4" s="29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21" x14ac:dyDescent="0.35">
      <c r="A5" s="29"/>
      <c r="B5" s="29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35">
      <c r="A6" s="29"/>
      <c r="B6" s="29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</row>
    <row r="7" spans="1:21" ht="40.5" customHeight="1" x14ac:dyDescent="0.35">
      <c r="A7" s="29"/>
      <c r="B7" s="29"/>
      <c r="C7" s="33">
        <f>SUM(Purchase!I:I)</f>
        <v>13500</v>
      </c>
      <c r="D7" s="33"/>
      <c r="E7" s="33"/>
      <c r="F7" s="33">
        <f>SUM(Sales!K:K)</f>
        <v>2100</v>
      </c>
      <c r="G7" s="33"/>
      <c r="H7" s="33"/>
      <c r="I7" s="33">
        <f>SUM(Sales!L:L)</f>
        <v>600</v>
      </c>
      <c r="J7" s="33"/>
      <c r="K7" s="33"/>
      <c r="L7" s="33">
        <f>SUM(Sales!M:M)</f>
        <v>1500</v>
      </c>
      <c r="M7" s="33"/>
      <c r="N7" s="33"/>
      <c r="O7" s="33">
        <f>SUM('Operating Expenses'!F:F)</f>
        <v>250</v>
      </c>
      <c r="P7" s="33"/>
      <c r="Q7" s="33"/>
      <c r="R7" s="32"/>
      <c r="S7" s="33">
        <f>L7-O7</f>
        <v>1250</v>
      </c>
      <c r="T7" s="33"/>
      <c r="U7" s="33"/>
    </row>
    <row r="8" spans="1:21" x14ac:dyDescent="0.35">
      <c r="A8" s="29"/>
      <c r="B8" s="29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</row>
    <row r="9" spans="1:21" x14ac:dyDescent="0.35">
      <c r="A9" s="29"/>
      <c r="B9" s="29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</row>
    <row r="10" spans="1:21" x14ac:dyDescent="0.35">
      <c r="A10" s="29"/>
      <c r="B10" s="29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</row>
    <row r="11" spans="1:21" x14ac:dyDescent="0.35">
      <c r="A11" s="29"/>
      <c r="B11" s="29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</row>
    <row r="12" spans="1:21" x14ac:dyDescent="0.35">
      <c r="A12" s="29"/>
      <c r="B12" s="29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</row>
    <row r="13" spans="1:21" x14ac:dyDescent="0.35">
      <c r="A13" s="29"/>
      <c r="B13" s="29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</row>
    <row r="14" spans="1:21" ht="38" customHeight="1" x14ac:dyDescent="0.35">
      <c r="A14" s="29"/>
      <c r="B14" s="29"/>
      <c r="C14" s="34">
        <f>SUM(Purchase!G2:G32)</f>
        <v>20</v>
      </c>
      <c r="D14" s="34"/>
      <c r="E14" s="34"/>
      <c r="F14" s="34">
        <f>SUM(Sales!I2:I201)</f>
        <v>2</v>
      </c>
      <c r="G14" s="34"/>
      <c r="H14" s="34"/>
      <c r="I14" s="34">
        <f>C14-F14</f>
        <v>18</v>
      </c>
      <c r="J14" s="34"/>
      <c r="K14" s="34"/>
      <c r="L14" s="34"/>
      <c r="M14" s="33">
        <f>SUM(Inventory!K2:K16)</f>
        <v>14400</v>
      </c>
      <c r="N14" s="33"/>
      <c r="O14" s="33"/>
      <c r="P14" s="35"/>
      <c r="Q14" s="32"/>
      <c r="R14" s="32"/>
      <c r="S14" s="32"/>
      <c r="T14" s="32"/>
      <c r="U14" s="32"/>
    </row>
    <row r="15" spans="1:21" x14ac:dyDescent="0.35">
      <c r="A15" s="29"/>
      <c r="B15" s="29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</row>
    <row r="16" spans="1:21" x14ac:dyDescent="0.35">
      <c r="A16" s="29"/>
      <c r="B16" s="29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</row>
    <row r="17" spans="1:21" x14ac:dyDescent="0.35">
      <c r="A17" s="29"/>
      <c r="B17" s="29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</row>
    <row r="18" spans="1:21" x14ac:dyDescent="0.35">
      <c r="A18" s="29"/>
      <c r="B18" s="29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</row>
    <row r="19" spans="1:21" x14ac:dyDescent="0.35">
      <c r="A19" s="29"/>
      <c r="B19" s="29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</row>
    <row r="20" spans="1:21" x14ac:dyDescent="0.35">
      <c r="A20" s="29"/>
      <c r="B20" s="29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</row>
    <row r="21" spans="1:21" x14ac:dyDescent="0.35">
      <c r="A21" s="29"/>
      <c r="B21" s="29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</row>
    <row r="22" spans="1:21" x14ac:dyDescent="0.35">
      <c r="A22" s="29"/>
      <c r="B22" s="29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</row>
    <row r="23" spans="1:21" x14ac:dyDescent="0.35">
      <c r="A23" s="29"/>
      <c r="B23" s="29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</row>
    <row r="24" spans="1:21" x14ac:dyDescent="0.35">
      <c r="A24" s="29"/>
      <c r="B24" s="29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</row>
    <row r="25" spans="1:21" x14ac:dyDescent="0.35">
      <c r="A25" s="29"/>
      <c r="B25" s="29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</row>
    <row r="26" spans="1:21" x14ac:dyDescent="0.35">
      <c r="A26" s="29"/>
      <c r="B26" s="29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</row>
    <row r="27" spans="1:21" x14ac:dyDescent="0.35">
      <c r="A27" s="29"/>
      <c r="B27" s="29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</row>
    <row r="28" spans="1:21" x14ac:dyDescent="0.35">
      <c r="A28" s="29"/>
      <c r="B28" s="29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</row>
    <row r="29" spans="1:21" x14ac:dyDescent="0.35">
      <c r="A29" s="29"/>
      <c r="B29" s="29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</row>
    <row r="30" spans="1:21" x14ac:dyDescent="0.35">
      <c r="A30" s="29"/>
      <c r="B30" s="29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</row>
    <row r="31" spans="1:21" x14ac:dyDescent="0.35">
      <c r="A31" s="29"/>
      <c r="B31" s="29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 spans="1:21" x14ac:dyDescent="0.35">
      <c r="A32" s="29"/>
      <c r="B32" s="29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</row>
    <row r="33" spans="1:21" x14ac:dyDescent="0.35">
      <c r="A33" s="29"/>
      <c r="B33" s="29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</row>
    <row r="34" spans="1:21" x14ac:dyDescent="0.35">
      <c r="A34" s="29"/>
      <c r="B34" s="29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</row>
    <row r="35" spans="1:21" x14ac:dyDescent="0.35">
      <c r="A35" s="29"/>
      <c r="B35" s="29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</row>
    <row r="36" spans="1:21" x14ac:dyDescent="0.35">
      <c r="A36" s="29"/>
      <c r="B36" s="29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</row>
    <row r="37" spans="1:21" x14ac:dyDescent="0.35">
      <c r="A37" s="29"/>
      <c r="B37" s="29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</row>
    <row r="38" spans="1:21" x14ac:dyDescent="0.35">
      <c r="A38" s="29"/>
      <c r="B38" s="29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</row>
    <row r="39" spans="1:21" x14ac:dyDescent="0.35">
      <c r="A39" s="29"/>
      <c r="B39" s="29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</row>
    <row r="40" spans="1:21" x14ac:dyDescent="0.35">
      <c r="A40" s="29"/>
      <c r="B40" s="29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</row>
    <row r="41" spans="1:21" x14ac:dyDescent="0.35">
      <c r="A41" s="29"/>
      <c r="B41" s="29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</row>
  </sheetData>
  <sheetProtection algorithmName="SHA-512" hashValue="ubC8H0dNMXI2RbwVNiuU8HsZZRekAn2YnrTFXo86IIab3Q7d0Wxm46PN/RBjkVLEXvk/WCEq8B9FS6ls9ScdYw==" saltValue="9eUHg/1bAvqMJMm4Be0btA==" spinCount="100000" sheet="1" objects="1" scenarios="1"/>
  <mergeCells count="10">
    <mergeCell ref="S7:U7"/>
    <mergeCell ref="C14:E14"/>
    <mergeCell ref="F14:H14"/>
    <mergeCell ref="I14:L14"/>
    <mergeCell ref="M14:O14"/>
    <mergeCell ref="C7:E7"/>
    <mergeCell ref="F7:H7"/>
    <mergeCell ref="I7:K7"/>
    <mergeCell ref="L7:N7"/>
    <mergeCell ref="O7:Q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249"/>
  <sheetViews>
    <sheetView zoomScaleNormal="100" workbookViewId="0">
      <pane ySplit="1" topLeftCell="A2" activePane="bottomLeft" state="frozen"/>
      <selection pane="bottomLeft" activeCell="K6" sqref="K6"/>
    </sheetView>
  </sheetViews>
  <sheetFormatPr defaultRowHeight="14.5" x14ac:dyDescent="0.35"/>
  <cols>
    <col min="1" max="2" width="8.7265625" style="30"/>
    <col min="3" max="3" width="10.453125" style="5" bestFit="1" customWidth="1"/>
    <col min="4" max="4" width="20.08984375" style="5" bestFit="1" customWidth="1"/>
    <col min="5" max="5" width="12" style="8" bestFit="1" customWidth="1"/>
    <col min="6" max="6" width="15.1796875" style="5" bestFit="1" customWidth="1"/>
    <col min="7" max="7" width="19.81640625" style="5" bestFit="1" customWidth="1"/>
    <col min="8" max="8" width="10.81640625" style="5" bestFit="1" customWidth="1"/>
    <col min="9" max="9" width="19.81640625" style="8" bestFit="1" customWidth="1"/>
    <col min="10" max="16384" width="8.7265625" style="6"/>
  </cols>
  <sheetData>
    <row r="1" spans="1:9" s="4" customFormat="1" ht="21.5" customHeight="1" x14ac:dyDescent="0.35">
      <c r="A1" s="29"/>
      <c r="B1" s="29"/>
      <c r="C1" s="3" t="s">
        <v>6</v>
      </c>
      <c r="D1" s="3" t="s">
        <v>7</v>
      </c>
      <c r="E1" s="7" t="s">
        <v>0</v>
      </c>
      <c r="F1" s="3" t="s">
        <v>1</v>
      </c>
      <c r="G1" s="3" t="s">
        <v>8</v>
      </c>
      <c r="H1" s="3" t="s">
        <v>9</v>
      </c>
      <c r="I1" s="7" t="s">
        <v>10</v>
      </c>
    </row>
    <row r="2" spans="1:9" x14ac:dyDescent="0.35">
      <c r="A2" s="29"/>
      <c r="B2" s="29"/>
      <c r="C2" s="5" t="s">
        <v>11</v>
      </c>
      <c r="D2" s="5" t="s">
        <v>12</v>
      </c>
      <c r="E2" s="8" t="str">
        <f>_xlfn.XLOOKUP(Table_Purchases[[#This Row],[Product Name]],Table6[Prodcuts],Table6[Product ID]," ")</f>
        <v>SH001</v>
      </c>
      <c r="F2" s="5" t="s">
        <v>39</v>
      </c>
      <c r="G2" s="5">
        <v>20</v>
      </c>
      <c r="H2" s="5">
        <v>675</v>
      </c>
      <c r="I2" s="8">
        <f t="shared" ref="I2:I32" si="0">IF(AND(G2&gt;0,H2&gt;0),G2*H2," ")</f>
        <v>13500</v>
      </c>
    </row>
    <row r="3" spans="1:9" x14ac:dyDescent="0.35">
      <c r="A3" s="29"/>
      <c r="B3" s="29"/>
      <c r="D3" s="5" t="s">
        <v>60</v>
      </c>
      <c r="E3" s="8" t="str">
        <f>_xlfn.XLOOKUP(Table_Purchases[[#This Row],[Product Name]],Table6[Prodcuts],Table6[Product ID]," ")</f>
        <v xml:space="preserve"> </v>
      </c>
      <c r="I3" s="8" t="str">
        <f t="shared" si="0"/>
        <v xml:space="preserve"> </v>
      </c>
    </row>
    <row r="4" spans="1:9" x14ac:dyDescent="0.35">
      <c r="A4" s="29"/>
      <c r="B4" s="29"/>
      <c r="D4" s="5" t="s">
        <v>61</v>
      </c>
      <c r="E4" s="8" t="str">
        <f>_xlfn.XLOOKUP(Table_Purchases[[#This Row],[Product Name]],Table6[Prodcuts],Table6[Product ID]," ")</f>
        <v xml:space="preserve"> </v>
      </c>
      <c r="I4" s="8" t="str">
        <f t="shared" si="0"/>
        <v xml:space="preserve"> </v>
      </c>
    </row>
    <row r="5" spans="1:9" x14ac:dyDescent="0.35">
      <c r="A5" s="29"/>
      <c r="B5" s="29"/>
      <c r="D5" s="5" t="s">
        <v>62</v>
      </c>
      <c r="E5" s="8" t="str">
        <f>_xlfn.XLOOKUP(Table_Purchases[[#This Row],[Product Name]],Table6[Prodcuts],Table6[Product ID]," ")</f>
        <v xml:space="preserve"> </v>
      </c>
      <c r="I5" s="8" t="str">
        <f t="shared" si="0"/>
        <v xml:space="preserve"> </v>
      </c>
    </row>
    <row r="6" spans="1:9" x14ac:dyDescent="0.35">
      <c r="A6" s="29"/>
      <c r="B6" s="29"/>
      <c r="D6" s="5" t="s">
        <v>63</v>
      </c>
      <c r="E6" s="8" t="str">
        <f>_xlfn.XLOOKUP(Table_Purchases[[#This Row],[Product Name]],Table6[Prodcuts],Table6[Product ID]," ")</f>
        <v xml:space="preserve"> </v>
      </c>
      <c r="I6" s="8" t="str">
        <f t="shared" si="0"/>
        <v xml:space="preserve"> </v>
      </c>
    </row>
    <row r="7" spans="1:9" x14ac:dyDescent="0.35">
      <c r="A7" s="29"/>
      <c r="B7" s="29"/>
      <c r="D7" s="5" t="s">
        <v>64</v>
      </c>
      <c r="E7" s="8" t="str">
        <f>_xlfn.XLOOKUP(Table_Purchases[[#This Row],[Product Name]],Table6[Prodcuts],Table6[Product ID]," ")</f>
        <v xml:space="preserve"> </v>
      </c>
      <c r="I7" s="8" t="str">
        <f t="shared" si="0"/>
        <v xml:space="preserve"> </v>
      </c>
    </row>
    <row r="8" spans="1:9" x14ac:dyDescent="0.35">
      <c r="A8" s="29"/>
      <c r="B8" s="29"/>
      <c r="D8" s="5" t="s">
        <v>65</v>
      </c>
      <c r="E8" s="8" t="str">
        <f>_xlfn.XLOOKUP(Table_Purchases[[#This Row],[Product Name]],Table6[Prodcuts],Table6[Product ID]," ")</f>
        <v xml:space="preserve"> </v>
      </c>
      <c r="I8" s="8" t="str">
        <f t="shared" si="0"/>
        <v xml:space="preserve"> </v>
      </c>
    </row>
    <row r="9" spans="1:9" x14ac:dyDescent="0.35">
      <c r="A9" s="29"/>
      <c r="B9" s="29"/>
      <c r="D9" s="5" t="s">
        <v>66</v>
      </c>
      <c r="E9" s="8" t="str">
        <f>_xlfn.XLOOKUP(Table_Purchases[[#This Row],[Product Name]],Table6[Prodcuts],Table6[Product ID]," ")</f>
        <v xml:space="preserve"> </v>
      </c>
      <c r="I9" s="8" t="str">
        <f t="shared" si="0"/>
        <v xml:space="preserve"> </v>
      </c>
    </row>
    <row r="10" spans="1:9" x14ac:dyDescent="0.35">
      <c r="A10" s="29"/>
      <c r="B10" s="29"/>
      <c r="D10" s="5" t="s">
        <v>67</v>
      </c>
      <c r="E10" s="8" t="str">
        <f>_xlfn.XLOOKUP(Table_Purchases[[#This Row],[Product Name]],Table6[Prodcuts],Table6[Product ID]," ")</f>
        <v xml:space="preserve"> </v>
      </c>
      <c r="I10" s="8" t="str">
        <f t="shared" si="0"/>
        <v xml:space="preserve"> </v>
      </c>
    </row>
    <row r="11" spans="1:9" x14ac:dyDescent="0.35">
      <c r="A11" s="29"/>
      <c r="B11" s="29"/>
      <c r="D11" s="5" t="s">
        <v>68</v>
      </c>
      <c r="E11" s="8" t="str">
        <f>_xlfn.XLOOKUP(Table_Purchases[[#This Row],[Product Name]],Table6[Prodcuts],Table6[Product ID]," ")</f>
        <v xml:space="preserve"> </v>
      </c>
      <c r="I11" s="8" t="str">
        <f t="shared" si="0"/>
        <v xml:space="preserve"> </v>
      </c>
    </row>
    <row r="12" spans="1:9" x14ac:dyDescent="0.35">
      <c r="A12" s="29"/>
      <c r="B12" s="29"/>
      <c r="D12" s="5" t="s">
        <v>69</v>
      </c>
      <c r="E12" s="8" t="str">
        <f>_xlfn.XLOOKUP(Table_Purchases[[#This Row],[Product Name]],Table6[Prodcuts],Table6[Product ID]," ")</f>
        <v xml:space="preserve"> </v>
      </c>
      <c r="I12" s="8" t="str">
        <f t="shared" si="0"/>
        <v xml:space="preserve"> </v>
      </c>
    </row>
    <row r="13" spans="1:9" x14ac:dyDescent="0.35">
      <c r="A13" s="29"/>
      <c r="B13" s="29"/>
      <c r="D13" s="5" t="s">
        <v>70</v>
      </c>
      <c r="E13" s="8" t="str">
        <f>_xlfn.XLOOKUP(Table_Purchases[[#This Row],[Product Name]],Table6[Prodcuts],Table6[Product ID]," ")</f>
        <v xml:space="preserve"> </v>
      </c>
      <c r="I13" s="8" t="str">
        <f t="shared" si="0"/>
        <v xml:space="preserve"> </v>
      </c>
    </row>
    <row r="14" spans="1:9" x14ac:dyDescent="0.35">
      <c r="A14" s="29"/>
      <c r="B14" s="29"/>
      <c r="D14" s="5" t="s">
        <v>71</v>
      </c>
      <c r="E14" s="8" t="str">
        <f>_xlfn.XLOOKUP(Table_Purchases[[#This Row],[Product Name]],Table6[Prodcuts],Table6[Product ID]," ")</f>
        <v xml:space="preserve"> </v>
      </c>
      <c r="I14" s="8" t="str">
        <f t="shared" si="0"/>
        <v xml:space="preserve"> </v>
      </c>
    </row>
    <row r="15" spans="1:9" x14ac:dyDescent="0.35">
      <c r="A15" s="29"/>
      <c r="B15" s="29"/>
      <c r="D15" s="5" t="s">
        <v>72</v>
      </c>
      <c r="E15" s="8" t="str">
        <f>_xlfn.XLOOKUP(Table_Purchases[[#This Row],[Product Name]],Table6[Prodcuts],Table6[Product ID]," ")</f>
        <v xml:space="preserve"> </v>
      </c>
      <c r="I15" s="8" t="str">
        <f t="shared" si="0"/>
        <v xml:space="preserve"> </v>
      </c>
    </row>
    <row r="16" spans="1:9" x14ac:dyDescent="0.35">
      <c r="A16" s="29"/>
      <c r="B16" s="29"/>
      <c r="D16" s="5" t="s">
        <v>73</v>
      </c>
      <c r="E16" s="8" t="str">
        <f>_xlfn.XLOOKUP(Table_Purchases[[#This Row],[Product Name]],Table6[Prodcuts],Table6[Product ID]," ")</f>
        <v xml:space="preserve"> </v>
      </c>
      <c r="I16" s="8" t="str">
        <f t="shared" si="0"/>
        <v xml:space="preserve"> </v>
      </c>
    </row>
    <row r="17" spans="1:9" x14ac:dyDescent="0.35">
      <c r="A17" s="29"/>
      <c r="B17" s="29"/>
      <c r="D17" s="5" t="s">
        <v>74</v>
      </c>
      <c r="E17" s="8" t="str">
        <f>_xlfn.XLOOKUP(Table_Purchases[[#This Row],[Product Name]],Table6[Prodcuts],Table6[Product ID]," ")</f>
        <v xml:space="preserve"> </v>
      </c>
      <c r="I17" s="8" t="str">
        <f t="shared" si="0"/>
        <v xml:space="preserve"> </v>
      </c>
    </row>
    <row r="18" spans="1:9" x14ac:dyDescent="0.35">
      <c r="A18" s="29"/>
      <c r="B18" s="29"/>
      <c r="D18" s="5" t="s">
        <v>75</v>
      </c>
      <c r="E18" s="8" t="str">
        <f>_xlfn.XLOOKUP(Table_Purchases[[#This Row],[Product Name]],Table6[Prodcuts],Table6[Product ID]," ")</f>
        <v xml:space="preserve"> </v>
      </c>
      <c r="I18" s="8" t="str">
        <f t="shared" si="0"/>
        <v xml:space="preserve"> </v>
      </c>
    </row>
    <row r="19" spans="1:9" x14ac:dyDescent="0.35">
      <c r="A19" s="29"/>
      <c r="B19" s="29"/>
      <c r="D19" s="5" t="s">
        <v>76</v>
      </c>
      <c r="E19" s="8" t="str">
        <f>_xlfn.XLOOKUP(Table_Purchases[[#This Row],[Product Name]],Table6[Prodcuts],Table6[Product ID]," ")</f>
        <v xml:space="preserve"> </v>
      </c>
      <c r="I19" s="8" t="str">
        <f t="shared" si="0"/>
        <v xml:space="preserve"> </v>
      </c>
    </row>
    <row r="20" spans="1:9" x14ac:dyDescent="0.35">
      <c r="A20" s="29"/>
      <c r="B20" s="29"/>
      <c r="D20" s="5" t="s">
        <v>77</v>
      </c>
      <c r="E20" s="8" t="str">
        <f>_xlfn.XLOOKUP(Table_Purchases[[#This Row],[Product Name]],Table6[Prodcuts],Table6[Product ID]," ")</f>
        <v xml:space="preserve"> </v>
      </c>
      <c r="I20" s="8" t="str">
        <f t="shared" si="0"/>
        <v xml:space="preserve"> </v>
      </c>
    </row>
    <row r="21" spans="1:9" x14ac:dyDescent="0.35">
      <c r="A21" s="29"/>
      <c r="B21" s="29"/>
      <c r="D21" s="5" t="s">
        <v>78</v>
      </c>
      <c r="E21" s="8" t="str">
        <f>_xlfn.XLOOKUP(Table_Purchases[[#This Row],[Product Name]],Table6[Prodcuts],Table6[Product ID]," ")</f>
        <v xml:space="preserve"> </v>
      </c>
      <c r="I21" s="8" t="str">
        <f t="shared" si="0"/>
        <v xml:space="preserve"> </v>
      </c>
    </row>
    <row r="22" spans="1:9" x14ac:dyDescent="0.35">
      <c r="A22" s="29"/>
      <c r="B22" s="29"/>
      <c r="D22" s="5" t="s">
        <v>79</v>
      </c>
      <c r="E22" s="8" t="str">
        <f>_xlfn.XLOOKUP(Table_Purchases[[#This Row],[Product Name]],Table6[Prodcuts],Table6[Product ID]," ")</f>
        <v xml:space="preserve"> </v>
      </c>
      <c r="I22" s="8" t="str">
        <f t="shared" si="0"/>
        <v xml:space="preserve"> </v>
      </c>
    </row>
    <row r="23" spans="1:9" x14ac:dyDescent="0.35">
      <c r="A23" s="29"/>
      <c r="B23" s="29"/>
      <c r="D23" s="5" t="s">
        <v>80</v>
      </c>
      <c r="E23" s="8" t="str">
        <f>_xlfn.XLOOKUP(Table_Purchases[[#This Row],[Product Name]],Table6[Prodcuts],Table6[Product ID]," ")</f>
        <v xml:space="preserve"> </v>
      </c>
      <c r="I23" s="8" t="str">
        <f t="shared" si="0"/>
        <v xml:space="preserve"> </v>
      </c>
    </row>
    <row r="24" spans="1:9" x14ac:dyDescent="0.35">
      <c r="A24" s="29"/>
      <c r="B24" s="29"/>
      <c r="D24" s="5" t="s">
        <v>81</v>
      </c>
      <c r="E24" s="8" t="str">
        <f>_xlfn.XLOOKUP(Table_Purchases[[#This Row],[Product Name]],Table6[Prodcuts],Table6[Product ID]," ")</f>
        <v xml:space="preserve"> </v>
      </c>
      <c r="I24" s="8" t="str">
        <f t="shared" si="0"/>
        <v xml:space="preserve"> </v>
      </c>
    </row>
    <row r="25" spans="1:9" x14ac:dyDescent="0.35">
      <c r="A25" s="29"/>
      <c r="B25" s="29"/>
      <c r="D25" s="5" t="s">
        <v>82</v>
      </c>
      <c r="E25" s="8" t="str">
        <f>_xlfn.XLOOKUP(Table_Purchases[[#This Row],[Product Name]],Table6[Prodcuts],Table6[Product ID]," ")</f>
        <v xml:space="preserve"> </v>
      </c>
      <c r="I25" s="8" t="str">
        <f t="shared" si="0"/>
        <v xml:space="preserve"> </v>
      </c>
    </row>
    <row r="26" spans="1:9" x14ac:dyDescent="0.35">
      <c r="A26" s="29"/>
      <c r="B26" s="29"/>
      <c r="D26" s="5" t="s">
        <v>83</v>
      </c>
      <c r="E26" s="8" t="str">
        <f>_xlfn.XLOOKUP(Table_Purchases[[#This Row],[Product Name]],Table6[Prodcuts],Table6[Product ID]," ")</f>
        <v xml:space="preserve"> </v>
      </c>
      <c r="I26" s="8" t="str">
        <f t="shared" si="0"/>
        <v xml:space="preserve"> </v>
      </c>
    </row>
    <row r="27" spans="1:9" x14ac:dyDescent="0.35">
      <c r="A27" s="29"/>
      <c r="B27" s="29"/>
      <c r="D27" s="5" t="s">
        <v>84</v>
      </c>
      <c r="E27" s="8" t="str">
        <f>_xlfn.XLOOKUP(Table_Purchases[[#This Row],[Product Name]],Table6[Prodcuts],Table6[Product ID]," ")</f>
        <v xml:space="preserve"> </v>
      </c>
      <c r="I27" s="8" t="str">
        <f t="shared" si="0"/>
        <v xml:space="preserve"> </v>
      </c>
    </row>
    <row r="28" spans="1:9" x14ac:dyDescent="0.35">
      <c r="A28" s="29"/>
      <c r="B28" s="29"/>
      <c r="D28" s="5" t="s">
        <v>85</v>
      </c>
      <c r="E28" s="8" t="str">
        <f>_xlfn.XLOOKUP(Table_Purchases[[#This Row],[Product Name]],Table6[Prodcuts],Table6[Product ID]," ")</f>
        <v xml:space="preserve"> </v>
      </c>
      <c r="I28" s="8" t="str">
        <f t="shared" si="0"/>
        <v xml:space="preserve"> </v>
      </c>
    </row>
    <row r="29" spans="1:9" x14ac:dyDescent="0.35">
      <c r="A29" s="29"/>
      <c r="B29" s="29"/>
      <c r="D29" s="5" t="s">
        <v>86</v>
      </c>
      <c r="E29" s="8" t="str">
        <f>_xlfn.XLOOKUP(Table_Purchases[[#This Row],[Product Name]],Table6[Prodcuts],Table6[Product ID]," ")</f>
        <v xml:space="preserve"> </v>
      </c>
      <c r="I29" s="8" t="str">
        <f t="shared" si="0"/>
        <v xml:space="preserve"> </v>
      </c>
    </row>
    <row r="30" spans="1:9" x14ac:dyDescent="0.35">
      <c r="A30" s="29"/>
      <c r="B30" s="29"/>
      <c r="D30" s="5" t="s">
        <v>87</v>
      </c>
      <c r="E30" s="8" t="str">
        <f>_xlfn.XLOOKUP(Table_Purchases[[#This Row],[Product Name]],Table6[Prodcuts],Table6[Product ID]," ")</f>
        <v xml:space="preserve"> </v>
      </c>
      <c r="I30" s="8" t="str">
        <f t="shared" si="0"/>
        <v xml:space="preserve"> </v>
      </c>
    </row>
    <row r="31" spans="1:9" x14ac:dyDescent="0.35">
      <c r="A31" s="29"/>
      <c r="B31" s="29"/>
      <c r="D31" s="5" t="s">
        <v>88</v>
      </c>
      <c r="E31" s="8" t="str">
        <f>_xlfn.XLOOKUP(Table_Purchases[[#This Row],[Product Name]],Table6[Prodcuts],Table6[Product ID]," ")</f>
        <v xml:space="preserve"> </v>
      </c>
      <c r="I31" s="8" t="str">
        <f t="shared" si="0"/>
        <v xml:space="preserve"> </v>
      </c>
    </row>
    <row r="32" spans="1:9" x14ac:dyDescent="0.35">
      <c r="A32" s="29"/>
      <c r="B32" s="29"/>
      <c r="D32" s="5" t="s">
        <v>89</v>
      </c>
      <c r="E32" s="8" t="str">
        <f>_xlfn.XLOOKUP(Table_Purchases[[#This Row],[Product Name]],Table6[Prodcuts],Table6[Product ID]," ")</f>
        <v xml:space="preserve"> </v>
      </c>
      <c r="I32" s="8" t="str">
        <f t="shared" si="0"/>
        <v xml:space="preserve"> </v>
      </c>
    </row>
    <row r="33" spans="1:2" x14ac:dyDescent="0.35">
      <c r="A33" s="29"/>
      <c r="B33" s="29"/>
    </row>
    <row r="34" spans="1:2" x14ac:dyDescent="0.35">
      <c r="A34" s="29"/>
      <c r="B34" s="29"/>
    </row>
    <row r="35" spans="1:2" x14ac:dyDescent="0.35">
      <c r="A35" s="29"/>
      <c r="B35" s="29"/>
    </row>
    <row r="36" spans="1:2" x14ac:dyDescent="0.35">
      <c r="A36" s="29"/>
      <c r="B36" s="29"/>
    </row>
    <row r="37" spans="1:2" x14ac:dyDescent="0.35">
      <c r="A37" s="29"/>
      <c r="B37" s="29"/>
    </row>
    <row r="38" spans="1:2" x14ac:dyDescent="0.35">
      <c r="A38" s="29"/>
      <c r="B38" s="29"/>
    </row>
    <row r="39" spans="1:2" x14ac:dyDescent="0.35">
      <c r="A39" s="29"/>
      <c r="B39" s="29"/>
    </row>
    <row r="40" spans="1:2" x14ac:dyDescent="0.35">
      <c r="A40" s="29"/>
      <c r="B40" s="29"/>
    </row>
    <row r="41" spans="1:2" x14ac:dyDescent="0.35">
      <c r="A41" s="29"/>
      <c r="B41" s="29"/>
    </row>
    <row r="42" spans="1:2" x14ac:dyDescent="0.35">
      <c r="A42" s="29"/>
      <c r="B42" s="29"/>
    </row>
    <row r="43" spans="1:2" x14ac:dyDescent="0.35">
      <c r="A43" s="29"/>
      <c r="B43" s="29"/>
    </row>
    <row r="44" spans="1:2" x14ac:dyDescent="0.35">
      <c r="A44" s="29"/>
      <c r="B44" s="29"/>
    </row>
    <row r="45" spans="1:2" x14ac:dyDescent="0.35">
      <c r="A45" s="29"/>
      <c r="B45" s="29"/>
    </row>
    <row r="46" spans="1:2" x14ac:dyDescent="0.35">
      <c r="A46" s="29"/>
      <c r="B46" s="29"/>
    </row>
    <row r="47" spans="1:2" x14ac:dyDescent="0.35">
      <c r="A47" s="29"/>
      <c r="B47" s="29"/>
    </row>
    <row r="48" spans="1:2" x14ac:dyDescent="0.35">
      <c r="A48" s="29"/>
      <c r="B48" s="29"/>
    </row>
    <row r="49" spans="1:2" x14ac:dyDescent="0.35">
      <c r="A49" s="29"/>
      <c r="B49" s="29"/>
    </row>
    <row r="50" spans="1:2" x14ac:dyDescent="0.35">
      <c r="A50" s="29"/>
      <c r="B50" s="29"/>
    </row>
    <row r="51" spans="1:2" x14ac:dyDescent="0.35">
      <c r="A51" s="29"/>
      <c r="B51" s="29"/>
    </row>
    <row r="52" spans="1:2" x14ac:dyDescent="0.35">
      <c r="A52" s="29"/>
      <c r="B52" s="29"/>
    </row>
    <row r="53" spans="1:2" x14ac:dyDescent="0.35">
      <c r="A53" s="29"/>
      <c r="B53" s="29"/>
    </row>
    <row r="54" spans="1:2" x14ac:dyDescent="0.35">
      <c r="A54" s="29"/>
      <c r="B54" s="29"/>
    </row>
    <row r="55" spans="1:2" x14ac:dyDescent="0.35">
      <c r="A55" s="29"/>
      <c r="B55" s="29"/>
    </row>
    <row r="56" spans="1:2" x14ac:dyDescent="0.35">
      <c r="A56" s="29"/>
      <c r="B56" s="29"/>
    </row>
    <row r="57" spans="1:2" x14ac:dyDescent="0.35">
      <c r="A57" s="29"/>
      <c r="B57" s="29"/>
    </row>
    <row r="58" spans="1:2" x14ac:dyDescent="0.35">
      <c r="A58" s="29"/>
      <c r="B58" s="29"/>
    </row>
    <row r="59" spans="1:2" x14ac:dyDescent="0.35">
      <c r="A59" s="29"/>
      <c r="B59" s="29"/>
    </row>
    <row r="60" spans="1:2" x14ac:dyDescent="0.35">
      <c r="A60" s="29"/>
      <c r="B60" s="29"/>
    </row>
    <row r="61" spans="1:2" x14ac:dyDescent="0.35">
      <c r="A61" s="29"/>
      <c r="B61" s="29"/>
    </row>
    <row r="62" spans="1:2" x14ac:dyDescent="0.35">
      <c r="A62" s="29"/>
      <c r="B62" s="29"/>
    </row>
    <row r="63" spans="1:2" x14ac:dyDescent="0.35">
      <c r="A63" s="29"/>
      <c r="B63" s="29"/>
    </row>
    <row r="64" spans="1:2" x14ac:dyDescent="0.35">
      <c r="A64" s="29"/>
      <c r="B64" s="29"/>
    </row>
    <row r="65" spans="1:2" x14ac:dyDescent="0.35">
      <c r="A65" s="29"/>
      <c r="B65" s="29"/>
    </row>
    <row r="66" spans="1:2" x14ac:dyDescent="0.35">
      <c r="A66" s="29"/>
      <c r="B66" s="29"/>
    </row>
    <row r="67" spans="1:2" x14ac:dyDescent="0.35">
      <c r="A67" s="29"/>
      <c r="B67" s="29"/>
    </row>
    <row r="68" spans="1:2" x14ac:dyDescent="0.35">
      <c r="A68" s="29"/>
      <c r="B68" s="29"/>
    </row>
    <row r="69" spans="1:2" x14ac:dyDescent="0.35">
      <c r="A69" s="29"/>
      <c r="B69" s="29"/>
    </row>
    <row r="70" spans="1:2" x14ac:dyDescent="0.35">
      <c r="A70" s="29"/>
      <c r="B70" s="29"/>
    </row>
    <row r="71" spans="1:2" x14ac:dyDescent="0.35">
      <c r="A71" s="29"/>
      <c r="B71" s="29"/>
    </row>
    <row r="72" spans="1:2" x14ac:dyDescent="0.35">
      <c r="A72" s="29"/>
      <c r="B72" s="29"/>
    </row>
    <row r="73" spans="1:2" x14ac:dyDescent="0.35">
      <c r="A73" s="29"/>
      <c r="B73" s="29"/>
    </row>
    <row r="74" spans="1:2" x14ac:dyDescent="0.35">
      <c r="A74" s="29"/>
      <c r="B74" s="29"/>
    </row>
    <row r="75" spans="1:2" x14ac:dyDescent="0.35">
      <c r="A75" s="29"/>
      <c r="B75" s="29"/>
    </row>
    <row r="76" spans="1:2" x14ac:dyDescent="0.35">
      <c r="A76" s="29"/>
      <c r="B76" s="29"/>
    </row>
    <row r="77" spans="1:2" x14ac:dyDescent="0.35">
      <c r="A77" s="29"/>
      <c r="B77" s="29"/>
    </row>
    <row r="78" spans="1:2" x14ac:dyDescent="0.35">
      <c r="A78" s="29"/>
      <c r="B78" s="29"/>
    </row>
    <row r="79" spans="1:2" x14ac:dyDescent="0.35">
      <c r="A79" s="29"/>
      <c r="B79" s="29"/>
    </row>
    <row r="80" spans="1:2" x14ac:dyDescent="0.35">
      <c r="A80" s="29"/>
      <c r="B80" s="29"/>
    </row>
    <row r="81" spans="1:2" x14ac:dyDescent="0.35">
      <c r="A81" s="29"/>
      <c r="B81" s="29"/>
    </row>
    <row r="82" spans="1:2" x14ac:dyDescent="0.35">
      <c r="A82" s="29"/>
      <c r="B82" s="29"/>
    </row>
    <row r="83" spans="1:2" x14ac:dyDescent="0.35">
      <c r="A83" s="29"/>
      <c r="B83" s="29"/>
    </row>
    <row r="84" spans="1:2" x14ac:dyDescent="0.35">
      <c r="A84" s="29"/>
      <c r="B84" s="29"/>
    </row>
    <row r="85" spans="1:2" x14ac:dyDescent="0.35">
      <c r="A85" s="29"/>
      <c r="B85" s="29"/>
    </row>
    <row r="86" spans="1:2" x14ac:dyDescent="0.35">
      <c r="A86" s="29"/>
      <c r="B86" s="29"/>
    </row>
    <row r="87" spans="1:2" x14ac:dyDescent="0.35">
      <c r="A87" s="29"/>
      <c r="B87" s="29"/>
    </row>
    <row r="88" spans="1:2" x14ac:dyDescent="0.35">
      <c r="A88" s="29"/>
      <c r="B88" s="29"/>
    </row>
    <row r="89" spans="1:2" x14ac:dyDescent="0.35">
      <c r="A89" s="29"/>
      <c r="B89" s="29"/>
    </row>
    <row r="90" spans="1:2" x14ac:dyDescent="0.35">
      <c r="A90" s="29"/>
      <c r="B90" s="29"/>
    </row>
    <row r="91" spans="1:2" x14ac:dyDescent="0.35">
      <c r="A91" s="29"/>
      <c r="B91" s="29"/>
    </row>
    <row r="92" spans="1:2" x14ac:dyDescent="0.35">
      <c r="A92" s="29"/>
      <c r="B92" s="29"/>
    </row>
    <row r="93" spans="1:2" x14ac:dyDescent="0.35">
      <c r="A93" s="29"/>
      <c r="B93" s="29"/>
    </row>
    <row r="94" spans="1:2" x14ac:dyDescent="0.35">
      <c r="A94" s="29"/>
      <c r="B94" s="29"/>
    </row>
    <row r="95" spans="1:2" x14ac:dyDescent="0.35">
      <c r="A95" s="29"/>
      <c r="B95" s="29"/>
    </row>
    <row r="96" spans="1:2" x14ac:dyDescent="0.35">
      <c r="A96" s="29"/>
      <c r="B96" s="29"/>
    </row>
    <row r="97" spans="1:2" x14ac:dyDescent="0.35">
      <c r="A97" s="29"/>
      <c r="B97" s="29"/>
    </row>
    <row r="98" spans="1:2" x14ac:dyDescent="0.35">
      <c r="A98" s="29"/>
      <c r="B98" s="29"/>
    </row>
    <row r="99" spans="1:2" x14ac:dyDescent="0.35">
      <c r="A99" s="29"/>
      <c r="B99" s="29"/>
    </row>
    <row r="100" spans="1:2" x14ac:dyDescent="0.35">
      <c r="A100" s="29"/>
      <c r="B100" s="29"/>
    </row>
    <row r="101" spans="1:2" x14ac:dyDescent="0.35">
      <c r="A101" s="29"/>
      <c r="B101" s="29"/>
    </row>
    <row r="102" spans="1:2" x14ac:dyDescent="0.35">
      <c r="A102" s="29"/>
      <c r="B102" s="29"/>
    </row>
    <row r="103" spans="1:2" x14ac:dyDescent="0.35">
      <c r="A103" s="29"/>
      <c r="B103" s="29"/>
    </row>
    <row r="104" spans="1:2" x14ac:dyDescent="0.35">
      <c r="A104" s="29"/>
      <c r="B104" s="29"/>
    </row>
    <row r="105" spans="1:2" x14ac:dyDescent="0.35">
      <c r="A105" s="29"/>
      <c r="B105" s="29"/>
    </row>
    <row r="106" spans="1:2" x14ac:dyDescent="0.35">
      <c r="A106" s="29"/>
      <c r="B106" s="29"/>
    </row>
    <row r="107" spans="1:2" x14ac:dyDescent="0.35">
      <c r="A107" s="29"/>
      <c r="B107" s="29"/>
    </row>
    <row r="108" spans="1:2" x14ac:dyDescent="0.35">
      <c r="A108" s="29"/>
      <c r="B108" s="29"/>
    </row>
    <row r="109" spans="1:2" x14ac:dyDescent="0.35">
      <c r="A109" s="29"/>
      <c r="B109" s="29"/>
    </row>
    <row r="110" spans="1:2" x14ac:dyDescent="0.35">
      <c r="A110" s="29"/>
      <c r="B110" s="29"/>
    </row>
    <row r="111" spans="1:2" x14ac:dyDescent="0.35">
      <c r="A111" s="29"/>
      <c r="B111" s="29"/>
    </row>
    <row r="112" spans="1:2" x14ac:dyDescent="0.35">
      <c r="A112" s="29"/>
      <c r="B112" s="29"/>
    </row>
    <row r="113" spans="1:2" x14ac:dyDescent="0.35">
      <c r="A113" s="29"/>
      <c r="B113" s="29"/>
    </row>
    <row r="114" spans="1:2" x14ac:dyDescent="0.35">
      <c r="A114" s="29"/>
      <c r="B114" s="29"/>
    </row>
    <row r="115" spans="1:2" x14ac:dyDescent="0.35">
      <c r="A115" s="29"/>
      <c r="B115" s="29"/>
    </row>
    <row r="116" spans="1:2" x14ac:dyDescent="0.35">
      <c r="A116" s="29"/>
      <c r="B116" s="29"/>
    </row>
    <row r="117" spans="1:2" x14ac:dyDescent="0.35">
      <c r="A117" s="29"/>
      <c r="B117" s="29"/>
    </row>
    <row r="118" spans="1:2" x14ac:dyDescent="0.35">
      <c r="A118" s="29"/>
      <c r="B118" s="29"/>
    </row>
    <row r="119" spans="1:2" x14ac:dyDescent="0.35">
      <c r="A119" s="29"/>
      <c r="B119" s="29"/>
    </row>
    <row r="120" spans="1:2" x14ac:dyDescent="0.35">
      <c r="A120" s="29"/>
      <c r="B120" s="29"/>
    </row>
    <row r="121" spans="1:2" x14ac:dyDescent="0.35">
      <c r="A121" s="29"/>
      <c r="B121" s="29"/>
    </row>
    <row r="122" spans="1:2" x14ac:dyDescent="0.35">
      <c r="A122" s="29"/>
      <c r="B122" s="29"/>
    </row>
    <row r="123" spans="1:2" x14ac:dyDescent="0.35">
      <c r="A123" s="29"/>
      <c r="B123" s="29"/>
    </row>
    <row r="124" spans="1:2" x14ac:dyDescent="0.35">
      <c r="A124" s="29"/>
      <c r="B124" s="29"/>
    </row>
    <row r="125" spans="1:2" x14ac:dyDescent="0.35">
      <c r="A125" s="29"/>
      <c r="B125" s="29"/>
    </row>
    <row r="126" spans="1:2" x14ac:dyDescent="0.35">
      <c r="A126" s="29"/>
      <c r="B126" s="29"/>
    </row>
    <row r="127" spans="1:2" x14ac:dyDescent="0.35">
      <c r="A127" s="29"/>
      <c r="B127" s="29"/>
    </row>
    <row r="128" spans="1:2" x14ac:dyDescent="0.35">
      <c r="A128" s="29"/>
      <c r="B128" s="29"/>
    </row>
    <row r="129" spans="1:2" x14ac:dyDescent="0.35">
      <c r="A129" s="29"/>
      <c r="B129" s="29"/>
    </row>
    <row r="130" spans="1:2" x14ac:dyDescent="0.35">
      <c r="A130" s="29"/>
      <c r="B130" s="29"/>
    </row>
    <row r="131" spans="1:2" x14ac:dyDescent="0.35">
      <c r="A131" s="29"/>
      <c r="B131" s="29"/>
    </row>
    <row r="132" spans="1:2" x14ac:dyDescent="0.35">
      <c r="A132" s="29"/>
      <c r="B132" s="29"/>
    </row>
    <row r="133" spans="1:2" x14ac:dyDescent="0.35">
      <c r="A133" s="29"/>
      <c r="B133" s="29"/>
    </row>
    <row r="134" spans="1:2" x14ac:dyDescent="0.35">
      <c r="A134" s="29"/>
      <c r="B134" s="29"/>
    </row>
    <row r="135" spans="1:2" x14ac:dyDescent="0.35">
      <c r="A135" s="29"/>
      <c r="B135" s="29"/>
    </row>
    <row r="136" spans="1:2" x14ac:dyDescent="0.35">
      <c r="A136" s="29"/>
      <c r="B136" s="29"/>
    </row>
    <row r="137" spans="1:2" x14ac:dyDescent="0.35">
      <c r="A137" s="29"/>
      <c r="B137" s="29"/>
    </row>
    <row r="138" spans="1:2" x14ac:dyDescent="0.35">
      <c r="A138" s="29"/>
      <c r="B138" s="29"/>
    </row>
    <row r="139" spans="1:2" x14ac:dyDescent="0.35">
      <c r="A139" s="29"/>
      <c r="B139" s="29"/>
    </row>
    <row r="140" spans="1:2" x14ac:dyDescent="0.35">
      <c r="A140" s="29"/>
      <c r="B140" s="29"/>
    </row>
    <row r="141" spans="1:2" x14ac:dyDescent="0.35">
      <c r="A141" s="29"/>
      <c r="B141" s="29"/>
    </row>
    <row r="142" spans="1:2" x14ac:dyDescent="0.35">
      <c r="A142" s="29"/>
      <c r="B142" s="29"/>
    </row>
    <row r="143" spans="1:2" x14ac:dyDescent="0.35">
      <c r="A143" s="29"/>
      <c r="B143" s="29"/>
    </row>
    <row r="144" spans="1:2" x14ac:dyDescent="0.35">
      <c r="A144" s="29"/>
      <c r="B144" s="29"/>
    </row>
    <row r="145" spans="1:2" x14ac:dyDescent="0.35">
      <c r="A145" s="29"/>
      <c r="B145" s="29"/>
    </row>
    <row r="146" spans="1:2" x14ac:dyDescent="0.35">
      <c r="A146" s="29"/>
      <c r="B146" s="29"/>
    </row>
    <row r="147" spans="1:2" x14ac:dyDescent="0.35">
      <c r="A147" s="29"/>
      <c r="B147" s="29"/>
    </row>
    <row r="148" spans="1:2" x14ac:dyDescent="0.35">
      <c r="A148" s="29"/>
      <c r="B148" s="29"/>
    </row>
    <row r="149" spans="1:2" x14ac:dyDescent="0.35">
      <c r="A149" s="29"/>
      <c r="B149" s="29"/>
    </row>
    <row r="150" spans="1:2" x14ac:dyDescent="0.35">
      <c r="A150" s="29"/>
      <c r="B150" s="29"/>
    </row>
    <row r="151" spans="1:2" x14ac:dyDescent="0.35">
      <c r="A151" s="29"/>
      <c r="B151" s="29"/>
    </row>
    <row r="152" spans="1:2" x14ac:dyDescent="0.35">
      <c r="A152" s="29"/>
      <c r="B152" s="29"/>
    </row>
    <row r="153" spans="1:2" x14ac:dyDescent="0.35">
      <c r="A153" s="29"/>
      <c r="B153" s="29"/>
    </row>
    <row r="154" spans="1:2" x14ac:dyDescent="0.35">
      <c r="A154" s="29"/>
      <c r="B154" s="29"/>
    </row>
    <row r="155" spans="1:2" x14ac:dyDescent="0.35">
      <c r="A155" s="29"/>
      <c r="B155" s="29"/>
    </row>
    <row r="156" spans="1:2" x14ac:dyDescent="0.35">
      <c r="A156" s="29"/>
      <c r="B156" s="29"/>
    </row>
    <row r="157" spans="1:2" x14ac:dyDescent="0.35">
      <c r="A157" s="29"/>
      <c r="B157" s="29"/>
    </row>
    <row r="158" spans="1:2" x14ac:dyDescent="0.35">
      <c r="A158" s="29"/>
      <c r="B158" s="29"/>
    </row>
    <row r="159" spans="1:2" x14ac:dyDescent="0.35">
      <c r="A159" s="29"/>
      <c r="B159" s="29"/>
    </row>
    <row r="160" spans="1:2" x14ac:dyDescent="0.35">
      <c r="A160" s="29"/>
      <c r="B160" s="29"/>
    </row>
    <row r="161" spans="1:2" x14ac:dyDescent="0.35">
      <c r="A161" s="29"/>
      <c r="B161" s="29"/>
    </row>
    <row r="162" spans="1:2" x14ac:dyDescent="0.35">
      <c r="A162" s="29"/>
      <c r="B162" s="29"/>
    </row>
    <row r="163" spans="1:2" x14ac:dyDescent="0.35">
      <c r="A163" s="29"/>
      <c r="B163" s="29"/>
    </row>
    <row r="164" spans="1:2" x14ac:dyDescent="0.35">
      <c r="A164" s="29"/>
      <c r="B164" s="29"/>
    </row>
    <row r="165" spans="1:2" x14ac:dyDescent="0.35">
      <c r="A165" s="29"/>
      <c r="B165" s="29"/>
    </row>
    <row r="166" spans="1:2" x14ac:dyDescent="0.35">
      <c r="A166" s="29"/>
      <c r="B166" s="29"/>
    </row>
    <row r="167" spans="1:2" x14ac:dyDescent="0.35">
      <c r="A167" s="29"/>
      <c r="B167" s="29"/>
    </row>
    <row r="168" spans="1:2" x14ac:dyDescent="0.35">
      <c r="A168" s="29"/>
      <c r="B168" s="29"/>
    </row>
    <row r="169" spans="1:2" x14ac:dyDescent="0.35">
      <c r="A169" s="29"/>
      <c r="B169" s="29"/>
    </row>
    <row r="170" spans="1:2" x14ac:dyDescent="0.35">
      <c r="A170" s="29"/>
      <c r="B170" s="29"/>
    </row>
    <row r="171" spans="1:2" x14ac:dyDescent="0.35">
      <c r="A171" s="29"/>
      <c r="B171" s="29"/>
    </row>
    <row r="172" spans="1:2" x14ac:dyDescent="0.35">
      <c r="A172" s="29"/>
      <c r="B172" s="29"/>
    </row>
    <row r="173" spans="1:2" x14ac:dyDescent="0.35">
      <c r="A173" s="29"/>
      <c r="B173" s="29"/>
    </row>
    <row r="174" spans="1:2" x14ac:dyDescent="0.35">
      <c r="A174" s="29"/>
      <c r="B174" s="29"/>
    </row>
    <row r="175" spans="1:2" x14ac:dyDescent="0.35">
      <c r="A175" s="29"/>
      <c r="B175" s="29"/>
    </row>
    <row r="176" spans="1:2" x14ac:dyDescent="0.35">
      <c r="A176" s="29"/>
      <c r="B176" s="29"/>
    </row>
    <row r="177" spans="1:2" x14ac:dyDescent="0.35">
      <c r="A177" s="29"/>
      <c r="B177" s="29"/>
    </row>
    <row r="178" spans="1:2" x14ac:dyDescent="0.35">
      <c r="A178" s="29"/>
      <c r="B178" s="29"/>
    </row>
    <row r="179" spans="1:2" x14ac:dyDescent="0.35">
      <c r="A179" s="29"/>
      <c r="B179" s="29"/>
    </row>
    <row r="180" spans="1:2" x14ac:dyDescent="0.35">
      <c r="A180" s="29"/>
      <c r="B180" s="29"/>
    </row>
    <row r="181" spans="1:2" x14ac:dyDescent="0.35">
      <c r="A181" s="29"/>
      <c r="B181" s="29"/>
    </row>
    <row r="182" spans="1:2" x14ac:dyDescent="0.35">
      <c r="A182" s="29"/>
      <c r="B182" s="29"/>
    </row>
    <row r="183" spans="1:2" x14ac:dyDescent="0.35">
      <c r="A183" s="29"/>
      <c r="B183" s="29"/>
    </row>
    <row r="184" spans="1:2" x14ac:dyDescent="0.35">
      <c r="A184" s="29"/>
      <c r="B184" s="29"/>
    </row>
    <row r="185" spans="1:2" x14ac:dyDescent="0.35">
      <c r="A185" s="29"/>
      <c r="B185" s="29"/>
    </row>
    <row r="186" spans="1:2" x14ac:dyDescent="0.35">
      <c r="A186" s="29"/>
      <c r="B186" s="29"/>
    </row>
    <row r="187" spans="1:2" x14ac:dyDescent="0.35">
      <c r="A187" s="29"/>
      <c r="B187" s="29"/>
    </row>
    <row r="188" spans="1:2" x14ac:dyDescent="0.35">
      <c r="A188" s="29"/>
      <c r="B188" s="29"/>
    </row>
    <row r="189" spans="1:2" x14ac:dyDescent="0.35">
      <c r="A189" s="29"/>
      <c r="B189" s="29"/>
    </row>
    <row r="190" spans="1:2" x14ac:dyDescent="0.35">
      <c r="A190" s="29"/>
      <c r="B190" s="29"/>
    </row>
    <row r="191" spans="1:2" x14ac:dyDescent="0.35">
      <c r="A191" s="29"/>
      <c r="B191" s="29"/>
    </row>
    <row r="192" spans="1:2" x14ac:dyDescent="0.35">
      <c r="A192" s="29"/>
      <c r="B192" s="29"/>
    </row>
    <row r="193" spans="1:2" x14ac:dyDescent="0.35">
      <c r="A193" s="29"/>
      <c r="B193" s="29"/>
    </row>
    <row r="194" spans="1:2" x14ac:dyDescent="0.35">
      <c r="A194" s="29"/>
      <c r="B194" s="29"/>
    </row>
    <row r="195" spans="1:2" x14ac:dyDescent="0.35">
      <c r="A195" s="29"/>
      <c r="B195" s="29"/>
    </row>
    <row r="196" spans="1:2" x14ac:dyDescent="0.35">
      <c r="A196" s="29"/>
      <c r="B196" s="29"/>
    </row>
    <row r="197" spans="1:2" x14ac:dyDescent="0.35">
      <c r="A197" s="29"/>
      <c r="B197" s="29"/>
    </row>
    <row r="198" spans="1:2" x14ac:dyDescent="0.35">
      <c r="A198" s="29"/>
      <c r="B198" s="29"/>
    </row>
    <row r="199" spans="1:2" x14ac:dyDescent="0.35">
      <c r="A199" s="29"/>
      <c r="B199" s="29"/>
    </row>
    <row r="200" spans="1:2" x14ac:dyDescent="0.35">
      <c r="A200" s="29"/>
      <c r="B200" s="29"/>
    </row>
    <row r="201" spans="1:2" x14ac:dyDescent="0.35">
      <c r="A201" s="29"/>
      <c r="B201" s="29"/>
    </row>
    <row r="202" spans="1:2" x14ac:dyDescent="0.35">
      <c r="A202" s="29"/>
      <c r="B202" s="29"/>
    </row>
    <row r="203" spans="1:2" x14ac:dyDescent="0.35">
      <c r="A203" s="29"/>
      <c r="B203" s="29"/>
    </row>
    <row r="204" spans="1:2" x14ac:dyDescent="0.35">
      <c r="A204" s="29"/>
      <c r="B204" s="29"/>
    </row>
    <row r="205" spans="1:2" x14ac:dyDescent="0.35">
      <c r="A205" s="29"/>
      <c r="B205" s="29"/>
    </row>
    <row r="206" spans="1:2" x14ac:dyDescent="0.35">
      <c r="A206" s="29"/>
      <c r="B206" s="29"/>
    </row>
    <row r="207" spans="1:2" x14ac:dyDescent="0.35">
      <c r="A207" s="29"/>
      <c r="B207" s="29"/>
    </row>
    <row r="208" spans="1:2" x14ac:dyDescent="0.35">
      <c r="A208" s="29"/>
      <c r="B208" s="29"/>
    </row>
    <row r="209" spans="1:2" x14ac:dyDescent="0.35">
      <c r="A209" s="29"/>
      <c r="B209" s="29"/>
    </row>
    <row r="210" spans="1:2" x14ac:dyDescent="0.35">
      <c r="A210" s="29"/>
      <c r="B210" s="29"/>
    </row>
    <row r="211" spans="1:2" x14ac:dyDescent="0.35">
      <c r="A211" s="29"/>
      <c r="B211" s="29"/>
    </row>
    <row r="212" spans="1:2" x14ac:dyDescent="0.35">
      <c r="A212" s="29"/>
      <c r="B212" s="29"/>
    </row>
    <row r="213" spans="1:2" x14ac:dyDescent="0.35">
      <c r="A213" s="29"/>
      <c r="B213" s="29"/>
    </row>
    <row r="214" spans="1:2" x14ac:dyDescent="0.35">
      <c r="A214" s="29"/>
      <c r="B214" s="29"/>
    </row>
    <row r="215" spans="1:2" x14ac:dyDescent="0.35">
      <c r="A215" s="29"/>
      <c r="B215" s="29"/>
    </row>
    <row r="216" spans="1:2" x14ac:dyDescent="0.35">
      <c r="A216" s="29"/>
      <c r="B216" s="29"/>
    </row>
    <row r="217" spans="1:2" x14ac:dyDescent="0.35">
      <c r="A217" s="29"/>
      <c r="B217" s="29"/>
    </row>
    <row r="218" spans="1:2" x14ac:dyDescent="0.35">
      <c r="A218" s="29"/>
      <c r="B218" s="29"/>
    </row>
    <row r="219" spans="1:2" x14ac:dyDescent="0.35">
      <c r="A219" s="29"/>
      <c r="B219" s="29"/>
    </row>
    <row r="220" spans="1:2" x14ac:dyDescent="0.35">
      <c r="A220" s="29"/>
      <c r="B220" s="29"/>
    </row>
    <row r="221" spans="1:2" x14ac:dyDescent="0.35">
      <c r="A221" s="29"/>
      <c r="B221" s="29"/>
    </row>
    <row r="222" spans="1:2" x14ac:dyDescent="0.35">
      <c r="A222" s="29"/>
      <c r="B222" s="29"/>
    </row>
    <row r="223" spans="1:2" x14ac:dyDescent="0.35">
      <c r="A223" s="29"/>
      <c r="B223" s="29"/>
    </row>
    <row r="224" spans="1:2" x14ac:dyDescent="0.35">
      <c r="A224" s="29"/>
      <c r="B224" s="29"/>
    </row>
    <row r="225" spans="1:2" x14ac:dyDescent="0.35">
      <c r="A225" s="29"/>
      <c r="B225" s="29"/>
    </row>
    <row r="226" spans="1:2" x14ac:dyDescent="0.35">
      <c r="A226" s="29"/>
      <c r="B226" s="29"/>
    </row>
    <row r="227" spans="1:2" x14ac:dyDescent="0.35">
      <c r="A227" s="29"/>
      <c r="B227" s="29"/>
    </row>
    <row r="228" spans="1:2" x14ac:dyDescent="0.35">
      <c r="A228" s="29"/>
      <c r="B228" s="29"/>
    </row>
    <row r="229" spans="1:2" x14ac:dyDescent="0.35">
      <c r="A229" s="29"/>
      <c r="B229" s="29"/>
    </row>
    <row r="230" spans="1:2" x14ac:dyDescent="0.35">
      <c r="A230" s="29"/>
      <c r="B230" s="29"/>
    </row>
    <row r="231" spans="1:2" x14ac:dyDescent="0.35">
      <c r="A231" s="29"/>
      <c r="B231" s="29"/>
    </row>
    <row r="232" spans="1:2" x14ac:dyDescent="0.35">
      <c r="A232" s="29"/>
      <c r="B232" s="29"/>
    </row>
    <row r="233" spans="1:2" x14ac:dyDescent="0.35">
      <c r="A233" s="29"/>
      <c r="B233" s="29"/>
    </row>
    <row r="234" spans="1:2" x14ac:dyDescent="0.35">
      <c r="A234" s="29"/>
      <c r="B234" s="29"/>
    </row>
    <row r="235" spans="1:2" x14ac:dyDescent="0.35">
      <c r="A235" s="29"/>
      <c r="B235" s="29"/>
    </row>
    <row r="236" spans="1:2" x14ac:dyDescent="0.35">
      <c r="A236" s="29"/>
      <c r="B236" s="29"/>
    </row>
    <row r="237" spans="1:2" x14ac:dyDescent="0.35">
      <c r="A237" s="29"/>
      <c r="B237" s="29"/>
    </row>
    <row r="238" spans="1:2" x14ac:dyDescent="0.35">
      <c r="A238" s="29"/>
      <c r="B238" s="29"/>
    </row>
    <row r="239" spans="1:2" x14ac:dyDescent="0.35">
      <c r="A239" s="29"/>
      <c r="B239" s="29"/>
    </row>
    <row r="240" spans="1:2" x14ac:dyDescent="0.35">
      <c r="A240" s="29"/>
      <c r="B240" s="29"/>
    </row>
    <row r="241" spans="1:2" x14ac:dyDescent="0.35">
      <c r="A241" s="29"/>
      <c r="B241" s="29"/>
    </row>
    <row r="242" spans="1:2" x14ac:dyDescent="0.35">
      <c r="A242" s="29"/>
      <c r="B242" s="29"/>
    </row>
    <row r="243" spans="1:2" x14ac:dyDescent="0.35">
      <c r="A243" s="29"/>
      <c r="B243" s="29"/>
    </row>
    <row r="244" spans="1:2" x14ac:dyDescent="0.35">
      <c r="A244" s="29"/>
      <c r="B244" s="29"/>
    </row>
    <row r="245" spans="1:2" x14ac:dyDescent="0.35">
      <c r="A245" s="29"/>
      <c r="B245" s="29"/>
    </row>
    <row r="246" spans="1:2" x14ac:dyDescent="0.35">
      <c r="A246" s="29"/>
      <c r="B246" s="29"/>
    </row>
    <row r="247" spans="1:2" x14ac:dyDescent="0.35">
      <c r="A247" s="29"/>
      <c r="B247" s="29"/>
    </row>
    <row r="248" spans="1:2" x14ac:dyDescent="0.35">
      <c r="A248" s="29"/>
      <c r="B248" s="29"/>
    </row>
    <row r="249" spans="1:2" x14ac:dyDescent="0.35">
      <c r="A249" s="29"/>
      <c r="B249" s="29"/>
    </row>
  </sheetData>
  <sheetProtection algorithmName="SHA-512" hashValue="2lgiPqAYMPDxXJcOhvAnaADN0zXrZMlru/h/FKpCUc4U9iq3rApjGOLR7lwz1C4kqvAPjnUusdFyjIk8kpbs3A==" saltValue="lOTKk0n0yaWOdftEn2+URw==" spinCount="100000" sheet="1" objects="1" scenarios="1"/>
  <phoneticPr fontId="2" type="noConversion"/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6BF974-6EE5-4426-83A1-D7F08EA8B603}">
          <x14:formula1>
            <xm:f>Inventory!$S$3:$S$12</xm:f>
          </x14:formula1>
          <xm:sqref>F2:F32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T20"/>
  <sheetViews>
    <sheetView zoomScaleNormal="100" workbookViewId="0">
      <pane ySplit="1" topLeftCell="A2" activePane="bottomLeft" state="frozen"/>
      <selection pane="bottomLeft" activeCell="K16" sqref="K16"/>
    </sheetView>
  </sheetViews>
  <sheetFormatPr defaultRowHeight="14.5" x14ac:dyDescent="0.35"/>
  <cols>
    <col min="1" max="2" width="8.7265625" style="30"/>
    <col min="3" max="3" width="12" style="23" bestFit="1" customWidth="1"/>
    <col min="4" max="4" width="15.1796875" style="6" bestFit="1" customWidth="1"/>
    <col min="5" max="5" width="11.54296875" style="6" bestFit="1" customWidth="1"/>
    <col min="6" max="6" width="11.36328125" style="23" bestFit="1" customWidth="1"/>
    <col min="7" max="7" width="12.90625" style="23" bestFit="1" customWidth="1"/>
    <col min="8" max="8" width="15.1796875" style="6" bestFit="1" customWidth="1"/>
    <col min="9" max="9" width="12.1796875" style="23" bestFit="1" customWidth="1"/>
    <col min="10" max="10" width="15.90625" style="23" bestFit="1" customWidth="1"/>
    <col min="11" max="11" width="20.7265625" style="23" bestFit="1" customWidth="1"/>
    <col min="12" max="18" width="8.7265625" style="6"/>
    <col min="19" max="19" width="14" style="6" bestFit="1" customWidth="1"/>
    <col min="20" max="16384" width="8.7265625" style="6"/>
  </cols>
  <sheetData>
    <row r="1" spans="1:20" x14ac:dyDescent="0.35">
      <c r="A1" s="29"/>
      <c r="B1" s="29"/>
      <c r="C1" s="22" t="s">
        <v>0</v>
      </c>
      <c r="D1" s="20" t="s">
        <v>1</v>
      </c>
      <c r="E1" s="20" t="s">
        <v>2</v>
      </c>
      <c r="F1" s="22" t="s">
        <v>3</v>
      </c>
      <c r="G1" s="22" t="s">
        <v>4</v>
      </c>
      <c r="H1" s="20" t="s">
        <v>5</v>
      </c>
      <c r="I1" s="22" t="s">
        <v>16</v>
      </c>
      <c r="J1" s="22" t="s">
        <v>290</v>
      </c>
      <c r="K1" s="26" t="s">
        <v>291</v>
      </c>
    </row>
    <row r="2" spans="1:20" x14ac:dyDescent="0.35">
      <c r="A2" s="29"/>
      <c r="B2" s="29"/>
      <c r="C2" s="23" t="str">
        <f>_xlfn.XLOOKUP(Table_Products[[#This Row],[Product Name]],Table6[Prodcuts],Table6[Product ID]," ")</f>
        <v>SH001</v>
      </c>
      <c r="D2" s="6" t="s">
        <v>39</v>
      </c>
      <c r="E2" s="6" t="s">
        <v>294</v>
      </c>
      <c r="F2" s="23">
        <f>IF(Table_Products[[#This Row],[Cost Code]]&gt;" ",VALUE(
_xlfn.XLOOKUP(MID(Table_Products[[#This Row],[Cost Code]],1,1),CodeKey[Letter],CodeKey[Number])&amp;
_xlfn.XLOOKUP(MID(Table_Products[[#This Row],[Cost Code]],2,1),CodeKey[Letter],CodeKey[Number])&amp;
_xlfn.XLOOKUP(MID(Table_Products[[#This Row],[Cost Code]],3,1),CodeKey[Letter],CodeKey[Number])
)," ")</f>
        <v>300</v>
      </c>
      <c r="G2" s="23">
        <f>IFERROR(IF(AND(Table_Products[[#This Row],[Cost Price]]&gt;0),Table_Products[[#This Row],[Cost Price]]+(Table_Products[[#This Row],[Cost Price]]*50%)," ")," ")</f>
        <v>450</v>
      </c>
      <c r="H2" s="21">
        <v>50</v>
      </c>
      <c r="I2" s="24">
        <f>IF(SUMIFS(Table_Sales[Quantity Sold],Table_Sales[Product Name],Table_Products[[#This Row],[Product Name]])=0," ",SUMIFS(Table_Sales[Quantity Sold],Table_Sales[Product Name],Table_Products[[#This Row],[Product Name]]))</f>
        <v>2</v>
      </c>
      <c r="J2" s="25">
        <f>IFERROR(IF(AND(Table_Products[[#This Row],[Opening Stock]]&gt;0,Table_Products[[#This Row],[Quantity Sold]]&gt;0),Table_Products[[#This Row],[Opening Stock]]-Table_Products[[#This Row],[Quantity Sold]]," ")," ")</f>
        <v>48</v>
      </c>
      <c r="K2" s="23">
        <f>IFERROR(IF(AND(Table_Products[[#This Row],[Cost Price]]&gt;0,Table_Products[[#This Row],[Current Inventory]]&gt;0),Table_Products[[#This Row],[Current Inventory]]*Table_Products[[#This Row],[Cost Price]]," ")," ")</f>
        <v>14400</v>
      </c>
      <c r="S2" s="6" t="s">
        <v>49</v>
      </c>
      <c r="T2" s="6" t="s">
        <v>0</v>
      </c>
    </row>
    <row r="3" spans="1:20" x14ac:dyDescent="0.35">
      <c r="A3" s="29"/>
      <c r="B3" s="29"/>
      <c r="C3" s="23" t="str">
        <f>_xlfn.XLOOKUP(Table_Products[[#This Row],[Product Name]],Table6[Prodcuts],Table6[Product ID]," ")</f>
        <v xml:space="preserve"> </v>
      </c>
      <c r="F3" s="23" t="str">
        <f>IF(Table_Products[[#This Row],[Cost Code]]&gt;" ",VALUE(
_xlfn.XLOOKUP(MID(Table_Products[[#This Row],[Cost Code]],1,1),CodeKey[Letter],CodeKey[Number])&amp;
_xlfn.XLOOKUP(MID(Table_Products[[#This Row],[Cost Code]],2,1),CodeKey[Letter],CodeKey[Number])&amp;
_xlfn.XLOOKUP(MID(Table_Products[[#This Row],[Cost Code]],3,1),CodeKey[Letter],CodeKey[Number])
)," ")</f>
        <v xml:space="preserve"> </v>
      </c>
      <c r="G3" s="23" t="str">
        <f>IFERROR(IF(AND(Table_Products[[#This Row],[Cost Price]]&gt;0),Table_Products[[#This Row],[Cost Price]]+(Table_Products[[#This Row],[Cost Price]]*50%)," ")," ")</f>
        <v xml:space="preserve"> </v>
      </c>
      <c r="H3" s="21"/>
      <c r="I3" s="24" t="str">
        <f>IF(SUMIFS(Table_Sales[Quantity Sold],Table_Sales[Product Name],Table_Products[[#This Row],[Product Name]])=0," ",SUMIFS(Table_Sales[Quantity Sold],Table_Sales[Product Name],Table_Products[[#This Row],[Product Name]]))</f>
        <v xml:space="preserve"> </v>
      </c>
      <c r="J3" s="25" t="str">
        <f>IFERROR(IF(AND(Table_Products[[#This Row],[Opening Stock]]&gt;0,Table_Products[[#This Row],[Quantity Sold]]&gt;0),Table_Products[[#This Row],[Opening Stock]]-Table_Products[[#This Row],[Quantity Sold]]," ")," ")</f>
        <v xml:space="preserve"> </v>
      </c>
      <c r="K3" s="23" t="str">
        <f>IFERROR(IF(AND(Table_Products[[#This Row],[Cost Price]]&gt;0,Table_Products[[#This Row],[Current Inventory]]&gt;0),Table_Products[[#This Row],[Current Inventory]]*Table_Products[[#This Row],[Cost Price]]," ")," ")</f>
        <v xml:space="preserve"> </v>
      </c>
      <c r="S3" s="6" t="s">
        <v>39</v>
      </c>
      <c r="T3" s="6" t="s">
        <v>50</v>
      </c>
    </row>
    <row r="4" spans="1:20" x14ac:dyDescent="0.35">
      <c r="A4" s="29"/>
      <c r="B4" s="29"/>
      <c r="C4" s="23" t="str">
        <f>_xlfn.XLOOKUP(Table_Products[[#This Row],[Product Name]],Table6[Prodcuts],Table6[Product ID]," ")</f>
        <v xml:space="preserve"> </v>
      </c>
      <c r="F4" s="23" t="str">
        <f>IF(Table_Products[[#This Row],[Cost Code]]&gt;" ",VALUE(
_xlfn.XLOOKUP(MID(Table_Products[[#This Row],[Cost Code]],1,1),CodeKey[Letter],CodeKey[Number])&amp;
_xlfn.XLOOKUP(MID(Table_Products[[#This Row],[Cost Code]],2,1),CodeKey[Letter],CodeKey[Number])&amp;
_xlfn.XLOOKUP(MID(Table_Products[[#This Row],[Cost Code]],3,1),CodeKey[Letter],CodeKey[Number])
)," ")</f>
        <v xml:space="preserve"> </v>
      </c>
      <c r="G4" s="23" t="str">
        <f>IFERROR(IF(AND(Table_Products[[#This Row],[Cost Price]]&gt;0),Table_Products[[#This Row],[Cost Price]]+(Table_Products[[#This Row],[Cost Price]]*50%)," ")," ")</f>
        <v xml:space="preserve"> </v>
      </c>
      <c r="H4" s="21"/>
      <c r="I4" s="24" t="str">
        <f>IF(SUMIFS(Table_Sales[Quantity Sold],Table_Sales[Product Name],Table_Products[[#This Row],[Product Name]])=0," ",SUMIFS(Table_Sales[Quantity Sold],Table_Sales[Product Name],Table_Products[[#This Row],[Product Name]]))</f>
        <v xml:space="preserve"> </v>
      </c>
      <c r="J4" s="25" t="str">
        <f>IFERROR(IF(AND(Table_Products[[#This Row],[Opening Stock]]&gt;0,Table_Products[[#This Row],[Quantity Sold]]&gt;0),Table_Products[[#This Row],[Opening Stock]]-Table_Products[[#This Row],[Quantity Sold]]," ")," ")</f>
        <v xml:space="preserve"> </v>
      </c>
      <c r="K4" s="23" t="str">
        <f>IFERROR(IF(AND(Table_Products[[#This Row],[Cost Price]]&gt;0,Table_Products[[#This Row],[Current Inventory]]&gt;0),Table_Products[[#This Row],[Current Inventory]]*Table_Products[[#This Row],[Cost Price]]," ")," ")</f>
        <v xml:space="preserve"> </v>
      </c>
      <c r="S4" s="6" t="s">
        <v>45</v>
      </c>
      <c r="T4" s="6" t="s">
        <v>52</v>
      </c>
    </row>
    <row r="5" spans="1:20" x14ac:dyDescent="0.35">
      <c r="A5" s="29"/>
      <c r="B5" s="29"/>
      <c r="C5" s="23" t="str">
        <f>_xlfn.XLOOKUP(Table_Products[[#This Row],[Product Name]],Table6[Prodcuts],Table6[Product ID]," ")</f>
        <v xml:space="preserve"> </v>
      </c>
      <c r="F5" s="23" t="str">
        <f>IF(Table_Products[[#This Row],[Cost Code]]&gt;" ",VALUE(
_xlfn.XLOOKUP(MID(Table_Products[[#This Row],[Cost Code]],1,1),CodeKey[Letter],CodeKey[Number])&amp;
_xlfn.XLOOKUP(MID(Table_Products[[#This Row],[Cost Code]],2,1),CodeKey[Letter],CodeKey[Number])&amp;
_xlfn.XLOOKUP(MID(Table_Products[[#This Row],[Cost Code]],3,1),CodeKey[Letter],CodeKey[Number])
)," ")</f>
        <v xml:space="preserve"> </v>
      </c>
      <c r="G5" s="23" t="str">
        <f>IFERROR(IF(AND(Table_Products[[#This Row],[Cost Price]]&gt;0),Table_Products[[#This Row],[Cost Price]]+(Table_Products[[#This Row],[Cost Price]]*50%)," ")," ")</f>
        <v xml:space="preserve"> </v>
      </c>
      <c r="H5" s="21"/>
      <c r="I5" s="24" t="str">
        <f>IF(SUMIFS(Table_Sales[Quantity Sold],Table_Sales[Product Name],Table_Products[[#This Row],[Product Name]])=0," ",SUMIFS(Table_Sales[Quantity Sold],Table_Sales[Product Name],Table_Products[[#This Row],[Product Name]]))</f>
        <v xml:space="preserve"> </v>
      </c>
      <c r="J5" s="25" t="str">
        <f>IFERROR(IF(AND(Table_Products[[#This Row],[Opening Stock]]&gt;0,Table_Products[[#This Row],[Quantity Sold]]&gt;0),Table_Products[[#This Row],[Opening Stock]]-Table_Products[[#This Row],[Quantity Sold]]," ")," ")</f>
        <v xml:space="preserve"> </v>
      </c>
      <c r="K5" s="23" t="str">
        <f>IFERROR(IF(AND(Table_Products[[#This Row],[Cost Price]]&gt;0,Table_Products[[#This Row],[Current Inventory]]&gt;0),Table_Products[[#This Row],[Current Inventory]]*Table_Products[[#This Row],[Cost Price]]," ")," ")</f>
        <v xml:space="preserve"> </v>
      </c>
      <c r="S5" s="6" t="s">
        <v>40</v>
      </c>
      <c r="T5" s="6" t="s">
        <v>58</v>
      </c>
    </row>
    <row r="6" spans="1:20" x14ac:dyDescent="0.35">
      <c r="A6" s="29"/>
      <c r="B6" s="29"/>
      <c r="C6" s="23" t="str">
        <f>_xlfn.XLOOKUP(Table_Products[[#This Row],[Product Name]],Table6[Prodcuts],Table6[Product ID]," ")</f>
        <v xml:space="preserve"> </v>
      </c>
      <c r="F6" s="23" t="str">
        <f>IF(Table_Products[[#This Row],[Cost Code]]&gt;" ",VALUE(
_xlfn.XLOOKUP(MID(Table_Products[[#This Row],[Cost Code]],1,1),CodeKey[Letter],CodeKey[Number])&amp;
_xlfn.XLOOKUP(MID(Table_Products[[#This Row],[Cost Code]],2,1),CodeKey[Letter],CodeKey[Number])&amp;
_xlfn.XLOOKUP(MID(Table_Products[[#This Row],[Cost Code]],3,1),CodeKey[Letter],CodeKey[Number])
)," ")</f>
        <v xml:space="preserve"> </v>
      </c>
      <c r="G6" s="23" t="str">
        <f>IFERROR(IF(AND(Table_Products[[#This Row],[Cost Price]]&gt;0),Table_Products[[#This Row],[Cost Price]]+(Table_Products[[#This Row],[Cost Price]]*50%)," ")," ")</f>
        <v xml:space="preserve"> </v>
      </c>
      <c r="H6" s="21"/>
      <c r="I6" s="24" t="str">
        <f>IF(SUMIFS(Table_Sales[Quantity Sold],Table_Sales[Product Name],Table_Products[[#This Row],[Product Name]])=0," ",SUMIFS(Table_Sales[Quantity Sold],Table_Sales[Product Name],Table_Products[[#This Row],[Product Name]]))</f>
        <v xml:space="preserve"> </v>
      </c>
      <c r="J6" s="25" t="str">
        <f>IFERROR(IF(AND(Table_Products[[#This Row],[Opening Stock]]&gt;0,Table_Products[[#This Row],[Quantity Sold]]&gt;0),Table_Products[[#This Row],[Opening Stock]]-Table_Products[[#This Row],[Quantity Sold]]," ")," ")</f>
        <v xml:space="preserve"> </v>
      </c>
      <c r="K6" s="23" t="str">
        <f>IFERROR(IF(AND(Table_Products[[#This Row],[Cost Price]]&gt;0,Table_Products[[#This Row],[Current Inventory]]&gt;0),Table_Products[[#This Row],[Current Inventory]]*Table_Products[[#This Row],[Cost Price]]," ")," ")</f>
        <v xml:space="preserve"> </v>
      </c>
      <c r="S6" s="6" t="s">
        <v>42</v>
      </c>
      <c r="T6" s="6" t="s">
        <v>59</v>
      </c>
    </row>
    <row r="7" spans="1:20" x14ac:dyDescent="0.35">
      <c r="A7" s="29"/>
      <c r="B7" s="29"/>
      <c r="C7" s="23" t="str">
        <f>_xlfn.XLOOKUP(Table_Products[[#This Row],[Product Name]],Table6[Prodcuts],Table6[Product ID]," ")</f>
        <v xml:space="preserve"> </v>
      </c>
      <c r="F7" s="23" t="str">
        <f>IF(Table_Products[[#This Row],[Cost Code]]&gt;" ",VALUE(
_xlfn.XLOOKUP(MID(Table_Products[[#This Row],[Cost Code]],1,1),CodeKey[Letter],CodeKey[Number])&amp;
_xlfn.XLOOKUP(MID(Table_Products[[#This Row],[Cost Code]],2,1),CodeKey[Letter],CodeKey[Number])&amp;
_xlfn.XLOOKUP(MID(Table_Products[[#This Row],[Cost Code]],3,1),CodeKey[Letter],CodeKey[Number])
)," ")</f>
        <v xml:space="preserve"> </v>
      </c>
      <c r="G7" s="23" t="str">
        <f>IFERROR(IF(AND(Table_Products[[#This Row],[Cost Price]]&gt;0),Table_Products[[#This Row],[Cost Price]]+(Table_Products[[#This Row],[Cost Price]]*50%)," ")," ")</f>
        <v xml:space="preserve"> </v>
      </c>
      <c r="H7" s="21"/>
      <c r="I7" s="24" t="str">
        <f>IF(SUMIFS(Table_Sales[Quantity Sold],Table_Sales[Product Name],Table_Products[[#This Row],[Product Name]])=0," ",SUMIFS(Table_Sales[Quantity Sold],Table_Sales[Product Name],Table_Products[[#This Row],[Product Name]]))</f>
        <v xml:space="preserve"> </v>
      </c>
      <c r="J7" s="25" t="str">
        <f>IFERROR(IF(AND(Table_Products[[#This Row],[Opening Stock]]&gt;0,Table_Products[[#This Row],[Quantity Sold]]&gt;0),Table_Products[[#This Row],[Opening Stock]]-Table_Products[[#This Row],[Quantity Sold]]," ")," ")</f>
        <v xml:space="preserve"> </v>
      </c>
      <c r="K7" s="23" t="str">
        <f>IFERROR(IF(AND(Table_Products[[#This Row],[Cost Price]]&gt;0,Table_Products[[#This Row],[Current Inventory]]&gt;0),Table_Products[[#This Row],[Current Inventory]]*Table_Products[[#This Row],[Cost Price]]," ")," ")</f>
        <v xml:space="preserve"> </v>
      </c>
      <c r="S7" s="6" t="s">
        <v>41</v>
      </c>
      <c r="T7" s="6" t="s">
        <v>53</v>
      </c>
    </row>
    <row r="8" spans="1:20" x14ac:dyDescent="0.35">
      <c r="A8" s="29"/>
      <c r="B8" s="29"/>
      <c r="C8" s="23" t="str">
        <f>_xlfn.XLOOKUP(Table_Products[[#This Row],[Product Name]],Table6[Prodcuts],Table6[Product ID]," ")</f>
        <v xml:space="preserve"> </v>
      </c>
      <c r="F8" s="23" t="str">
        <f>IF(Table_Products[[#This Row],[Cost Code]]&gt;" ",VALUE(
_xlfn.XLOOKUP(MID(Table_Products[[#This Row],[Cost Code]],1,1),CodeKey[Letter],CodeKey[Number])&amp;
_xlfn.XLOOKUP(MID(Table_Products[[#This Row],[Cost Code]],2,1),CodeKey[Letter],CodeKey[Number])&amp;
_xlfn.XLOOKUP(MID(Table_Products[[#This Row],[Cost Code]],3,1),CodeKey[Letter],CodeKey[Number])
)," ")</f>
        <v xml:space="preserve"> </v>
      </c>
      <c r="G8" s="23" t="str">
        <f>IFERROR(IF(AND(Table_Products[[#This Row],[Cost Price]]&gt;0),Table_Products[[#This Row],[Cost Price]]+(Table_Products[[#This Row],[Cost Price]]*50%)," ")," ")</f>
        <v xml:space="preserve"> </v>
      </c>
      <c r="H8" s="21"/>
      <c r="I8" s="24" t="str">
        <f>IF(SUMIFS(Table_Sales[Quantity Sold],Table_Sales[Product Name],Table_Products[[#This Row],[Product Name]])=0," ",SUMIFS(Table_Sales[Quantity Sold],Table_Sales[Product Name],Table_Products[[#This Row],[Product Name]]))</f>
        <v xml:space="preserve"> </v>
      </c>
      <c r="J8" s="25" t="str">
        <f>IFERROR(IF(AND(Table_Products[[#This Row],[Opening Stock]]&gt;0,Table_Products[[#This Row],[Quantity Sold]]&gt;0),Table_Products[[#This Row],[Opening Stock]]-Table_Products[[#This Row],[Quantity Sold]]," ")," ")</f>
        <v xml:space="preserve"> </v>
      </c>
      <c r="K8" s="23" t="str">
        <f>IFERROR(IF(AND(Table_Products[[#This Row],[Cost Price]]&gt;0,Table_Products[[#This Row],[Current Inventory]]&gt;0),Table_Products[[#This Row],[Current Inventory]]*Table_Products[[#This Row],[Cost Price]]," ")," ")</f>
        <v xml:space="preserve"> </v>
      </c>
      <c r="S8" s="6" t="s">
        <v>43</v>
      </c>
      <c r="T8" s="6" t="s">
        <v>54</v>
      </c>
    </row>
    <row r="9" spans="1:20" x14ac:dyDescent="0.35">
      <c r="A9" s="29"/>
      <c r="B9" s="29"/>
      <c r="C9" s="23" t="str">
        <f>_xlfn.XLOOKUP(Table_Products[[#This Row],[Product Name]],Table6[Prodcuts],Table6[Product ID]," ")</f>
        <v xml:space="preserve"> </v>
      </c>
      <c r="F9" s="23" t="str">
        <f>IF(Table_Products[[#This Row],[Cost Code]]&gt;" ",VALUE(
_xlfn.XLOOKUP(MID(Table_Products[[#This Row],[Cost Code]],1,1),CodeKey[Letter],CodeKey[Number])&amp;
_xlfn.XLOOKUP(MID(Table_Products[[#This Row],[Cost Code]],2,1),CodeKey[Letter],CodeKey[Number])&amp;
_xlfn.XLOOKUP(MID(Table_Products[[#This Row],[Cost Code]],3,1),CodeKey[Letter],CodeKey[Number])
)," ")</f>
        <v xml:space="preserve"> </v>
      </c>
      <c r="G9" s="23" t="str">
        <f>IFERROR(IF(AND(Table_Products[[#This Row],[Cost Price]]&gt;0),Table_Products[[#This Row],[Cost Price]]+(Table_Products[[#This Row],[Cost Price]]*50%)," ")," ")</f>
        <v xml:space="preserve"> </v>
      </c>
      <c r="H9" s="21"/>
      <c r="I9" s="24" t="str">
        <f>IF(SUMIFS(Table_Sales[Quantity Sold],Table_Sales[Product Name],Table_Products[[#This Row],[Product Name]])=0," ",SUMIFS(Table_Sales[Quantity Sold],Table_Sales[Product Name],Table_Products[[#This Row],[Product Name]]))</f>
        <v xml:space="preserve"> </v>
      </c>
      <c r="J9" s="25" t="str">
        <f>IFERROR(IF(AND(Table_Products[[#This Row],[Opening Stock]]&gt;0,Table_Products[[#This Row],[Quantity Sold]]&gt;0),Table_Products[[#This Row],[Opening Stock]]-Table_Products[[#This Row],[Quantity Sold]]," ")," ")</f>
        <v xml:space="preserve"> </v>
      </c>
      <c r="K9" s="23" t="str">
        <f>IFERROR(IF(AND(Table_Products[[#This Row],[Cost Price]]&gt;0,Table_Products[[#This Row],[Current Inventory]]&gt;0),Table_Products[[#This Row],[Current Inventory]]*Table_Products[[#This Row],[Cost Price]]," ")," ")</f>
        <v xml:space="preserve"> </v>
      </c>
      <c r="S9" s="6" t="s">
        <v>44</v>
      </c>
      <c r="T9" s="6" t="s">
        <v>55</v>
      </c>
    </row>
    <row r="10" spans="1:20" x14ac:dyDescent="0.35">
      <c r="A10" s="29"/>
      <c r="B10" s="29"/>
      <c r="C10" s="23" t="str">
        <f>_xlfn.XLOOKUP(Table_Products[[#This Row],[Product Name]],Table6[Prodcuts],Table6[Product ID]," ")</f>
        <v xml:space="preserve"> </v>
      </c>
      <c r="F10" s="23" t="str">
        <f>IF(Table_Products[[#This Row],[Cost Code]]&gt;" ",VALUE(
_xlfn.XLOOKUP(MID(Table_Products[[#This Row],[Cost Code]],1,1),CodeKey[Letter],CodeKey[Number])&amp;
_xlfn.XLOOKUP(MID(Table_Products[[#This Row],[Cost Code]],2,1),CodeKey[Letter],CodeKey[Number])&amp;
_xlfn.XLOOKUP(MID(Table_Products[[#This Row],[Cost Code]],3,1),CodeKey[Letter],CodeKey[Number])
)," ")</f>
        <v xml:space="preserve"> </v>
      </c>
      <c r="G10" s="23" t="str">
        <f>IFERROR(IF(AND(Table_Products[[#This Row],[Cost Price]]&gt;0),Table_Products[[#This Row],[Cost Price]]+(Table_Products[[#This Row],[Cost Price]]*50%)," ")," ")</f>
        <v xml:space="preserve"> </v>
      </c>
      <c r="H10" s="21"/>
      <c r="I10" s="24" t="str">
        <f>IF(SUMIFS(Table_Sales[Quantity Sold],Table_Sales[Product Name],Table_Products[[#This Row],[Product Name]])=0," ",SUMIFS(Table_Sales[Quantity Sold],Table_Sales[Product Name],Table_Products[[#This Row],[Product Name]]))</f>
        <v xml:space="preserve"> </v>
      </c>
      <c r="J10" s="25" t="str">
        <f>IFERROR(IF(AND(Table_Products[[#This Row],[Opening Stock]]&gt;0,Table_Products[[#This Row],[Quantity Sold]]&gt;0),Table_Products[[#This Row],[Opening Stock]]-Table_Products[[#This Row],[Quantity Sold]]," ")," ")</f>
        <v xml:space="preserve"> </v>
      </c>
      <c r="K10" s="23" t="str">
        <f>IFERROR(IF(AND(Table_Products[[#This Row],[Cost Price]]&gt;0,Table_Products[[#This Row],[Current Inventory]]&gt;0),Table_Products[[#This Row],[Current Inventory]]*Table_Products[[#This Row],[Cost Price]]," ")," ")</f>
        <v xml:space="preserve"> </v>
      </c>
      <c r="S10" s="6" t="s">
        <v>46</v>
      </c>
      <c r="T10" s="6" t="s">
        <v>56</v>
      </c>
    </row>
    <row r="11" spans="1:20" x14ac:dyDescent="0.35">
      <c r="A11" s="29"/>
      <c r="B11" s="29"/>
      <c r="C11" s="23" t="str">
        <f>_xlfn.XLOOKUP(Table_Products[[#This Row],[Product Name]],Table6[Prodcuts],Table6[Product ID]," ")</f>
        <v xml:space="preserve"> </v>
      </c>
      <c r="F11" s="23" t="str">
        <f>IF(Table_Products[[#This Row],[Cost Code]]&gt;" ",VALUE(
_xlfn.XLOOKUP(MID(Table_Products[[#This Row],[Cost Code]],1,1),CodeKey[Letter],CodeKey[Number])&amp;
_xlfn.XLOOKUP(MID(Table_Products[[#This Row],[Cost Code]],2,1),CodeKey[Letter],CodeKey[Number])&amp;
_xlfn.XLOOKUP(MID(Table_Products[[#This Row],[Cost Code]],3,1),CodeKey[Letter],CodeKey[Number])
)," ")</f>
        <v xml:space="preserve"> </v>
      </c>
      <c r="G11" s="23" t="str">
        <f>IFERROR(IF(AND(Table_Products[[#This Row],[Cost Price]]&gt;0),Table_Products[[#This Row],[Cost Price]]+(Table_Products[[#This Row],[Cost Price]]*50%)," ")," ")</f>
        <v xml:space="preserve"> </v>
      </c>
      <c r="H11" s="21"/>
      <c r="I11" s="24" t="str">
        <f>IF(SUMIFS(Table_Sales[Quantity Sold],Table_Sales[Product Name],Table_Products[[#This Row],[Product Name]])=0," ",SUMIFS(Table_Sales[Quantity Sold],Table_Sales[Product Name],Table_Products[[#This Row],[Product Name]]))</f>
        <v xml:space="preserve"> </v>
      </c>
      <c r="J11" s="25" t="str">
        <f>IFERROR(IF(AND(Table_Products[[#This Row],[Opening Stock]]&gt;0,Table_Products[[#This Row],[Quantity Sold]]&gt;0),Table_Products[[#This Row],[Opening Stock]]-Table_Products[[#This Row],[Quantity Sold]]," ")," ")</f>
        <v xml:space="preserve"> </v>
      </c>
      <c r="K11" s="23" t="str">
        <f>IFERROR(IF(AND(Table_Products[[#This Row],[Cost Price]]&gt;0,Table_Products[[#This Row],[Current Inventory]]&gt;0),Table_Products[[#This Row],[Current Inventory]]*Table_Products[[#This Row],[Cost Price]]," ")," ")</f>
        <v xml:space="preserve"> </v>
      </c>
      <c r="S11" s="6" t="s">
        <v>47</v>
      </c>
      <c r="T11" s="6" t="s">
        <v>57</v>
      </c>
    </row>
    <row r="12" spans="1:20" x14ac:dyDescent="0.35">
      <c r="A12" s="29"/>
      <c r="B12" s="29"/>
      <c r="C12" s="23" t="str">
        <f>_xlfn.XLOOKUP(Table_Products[[#This Row],[Product Name]],Table6[Prodcuts],Table6[Product ID]," ")</f>
        <v xml:space="preserve"> </v>
      </c>
      <c r="G12" s="23" t="str">
        <f>IFERROR(IF(AND(Table_Products[[#This Row],[Cost Price]]&gt;0),Table_Products[[#This Row],[Cost Price]]+(Table_Products[[#This Row],[Cost Price]]*50%)," ")," ")</f>
        <v xml:space="preserve"> </v>
      </c>
      <c r="H12" s="21"/>
      <c r="I12" s="24" t="str">
        <f>IF(SUMIFS(Table_Sales[Quantity Sold],Table_Sales[Product Name],Table_Products[[#This Row],[Product Name]])=0," ",SUMIFS(Table_Sales[Quantity Sold],Table_Sales[Product Name],Table_Products[[#This Row],[Product Name]]))</f>
        <v xml:space="preserve"> </v>
      </c>
      <c r="J12" s="25" t="str">
        <f>IFERROR(IF(AND(Table_Products[[#This Row],[Opening Stock]]&gt;0,Table_Products[[#This Row],[Quantity Sold]]&gt;0),Table_Products[[#This Row],[Opening Stock]]-Table_Products[[#This Row],[Quantity Sold]]," ")," ")</f>
        <v xml:space="preserve"> </v>
      </c>
      <c r="K12" s="23" t="str">
        <f>IFERROR(IF(AND(Table_Products[[#This Row],[Cost Price]]&gt;0,Table_Products[[#This Row],[Current Inventory]]&gt;0),Table_Products[[#This Row],[Current Inventory]]*Table_Products[[#This Row],[Cost Price]]," ")," ")</f>
        <v xml:space="preserve"> </v>
      </c>
      <c r="S12" s="6" t="s">
        <v>48</v>
      </c>
      <c r="T12" s="6" t="s">
        <v>51</v>
      </c>
    </row>
    <row r="13" spans="1:20" x14ac:dyDescent="0.35">
      <c r="A13" s="29"/>
      <c r="B13" s="29"/>
      <c r="C13" s="23" t="str">
        <f>_xlfn.XLOOKUP(Table_Products[[#This Row],[Product Name]],Table6[Prodcuts],Table6[Product ID]," ")</f>
        <v xml:space="preserve"> </v>
      </c>
      <c r="F13" s="23" t="str">
        <f>IF(Table_Products[[#This Row],[Cost Code]]&gt;" ",VALUE(
_xlfn.XLOOKUP(MID(Table_Products[[#This Row],[Cost Code]],1,1),'CodeKey'!C:C,'CodeKey'!D:D)&amp;
_xlfn.XLOOKUP(MID(Table_Products[[#This Row],[Cost Code]],2,1),'CodeKey'!C:C,'CodeKey'!D:D)&amp;
_xlfn.XLOOKUP(MID(Table_Products[[#This Row],[Cost Code]],3,1),'CodeKey'!C:C,'CodeKey'!D:D)
)," ")</f>
        <v xml:space="preserve"> </v>
      </c>
      <c r="G13" s="23" t="str">
        <f>IFERROR(IF(AND(Table_Products[[#This Row],[Cost Price]]&gt;0),Table_Products[[#This Row],[Cost Price]]+(Table_Products[[#This Row],[Cost Price]]*50%)," ")," ")</f>
        <v xml:space="preserve"> </v>
      </c>
      <c r="H13" s="21"/>
      <c r="I13" s="24" t="str">
        <f>IF(SUMIFS(Table_Sales[Quantity Sold],Table_Sales[Product Name],Table_Products[[#This Row],[Product Name]])=0," ",SUMIFS(Table_Sales[Quantity Sold],Table_Sales[Product Name],Table_Products[[#This Row],[Product Name]]))</f>
        <v xml:space="preserve"> </v>
      </c>
      <c r="J13" s="25" t="str">
        <f>IFERROR(IF(AND(Table_Products[[#This Row],[Opening Stock]]&gt;0,Table_Products[[#This Row],[Quantity Sold]]&gt;0),Table_Products[[#This Row],[Opening Stock]]-Table_Products[[#This Row],[Quantity Sold]]," ")," ")</f>
        <v xml:space="preserve"> </v>
      </c>
      <c r="K13" s="23" t="str">
        <f>IFERROR(IF(AND(Table_Products[[#This Row],[Cost Price]]&gt;0,Table_Products[[#This Row],[Current Inventory]]&gt;0),Table_Products[[#This Row],[Current Inventory]]*Table_Products[[#This Row],[Cost Price]]," ")," ")</f>
        <v xml:space="preserve"> </v>
      </c>
    </row>
    <row r="14" spans="1:20" x14ac:dyDescent="0.35">
      <c r="A14" s="29"/>
      <c r="B14" s="29"/>
      <c r="C14" s="23" t="str">
        <f>_xlfn.XLOOKUP(Table_Products[[#This Row],[Product Name]],Table6[Prodcuts],Table6[Product ID]," ")</f>
        <v xml:space="preserve"> </v>
      </c>
      <c r="F14" s="23" t="str">
        <f>IF(Table_Products[[#This Row],[Cost Code]]&gt;" ",VALUE(
_xlfn.XLOOKUP(MID(Table_Products[[#This Row],[Cost Code]],1,1),'CodeKey'!C:C,'CodeKey'!D:D)&amp;
_xlfn.XLOOKUP(MID(Table_Products[[#This Row],[Cost Code]],2,1),'CodeKey'!C:C,'CodeKey'!D:D)&amp;
_xlfn.XLOOKUP(MID(Table_Products[[#This Row],[Cost Code]],3,1),'CodeKey'!C:C,'CodeKey'!D:D)
)," ")</f>
        <v xml:space="preserve"> </v>
      </c>
      <c r="G14" s="23" t="str">
        <f>IFERROR(IF(AND(Table_Products[[#This Row],[Cost Price]]&gt;0),Table_Products[[#This Row],[Cost Price]]+(Table_Products[[#This Row],[Cost Price]]*50%)," ")," ")</f>
        <v xml:space="preserve"> </v>
      </c>
      <c r="H14" s="21"/>
      <c r="I14" s="24" t="str">
        <f>IF(SUMIFS(Table_Sales[Quantity Sold],Table_Sales[Product Name],Table_Products[[#This Row],[Product Name]])=0," ",SUMIFS(Table_Sales[Quantity Sold],Table_Sales[Product Name],Table_Products[[#This Row],[Product Name]]))</f>
        <v xml:space="preserve"> </v>
      </c>
      <c r="J14" s="25" t="str">
        <f>IFERROR(IF(AND(Table_Products[[#This Row],[Opening Stock]]&gt;0,Table_Products[[#This Row],[Quantity Sold]]&gt;0),Table_Products[[#This Row],[Opening Stock]]-Table_Products[[#This Row],[Quantity Sold]]," ")," ")</f>
        <v xml:space="preserve"> </v>
      </c>
      <c r="K14" s="23" t="str">
        <f>IFERROR(IF(AND(Table_Products[[#This Row],[Cost Price]]&gt;0,Table_Products[[#This Row],[Current Inventory]]&gt;0),Table_Products[[#This Row],[Current Inventory]]*Table_Products[[#This Row],[Cost Price]]," ")," ")</f>
        <v xml:space="preserve"> </v>
      </c>
    </row>
    <row r="15" spans="1:20" x14ac:dyDescent="0.35">
      <c r="A15" s="29"/>
      <c r="B15" s="29"/>
      <c r="C15" s="23" t="str">
        <f>_xlfn.XLOOKUP(Table_Products[[#This Row],[Product Name]],Table6[Prodcuts],Table6[Product ID]," ")</f>
        <v xml:space="preserve"> </v>
      </c>
      <c r="F15" s="23" t="str">
        <f>IF(Table_Products[[#This Row],[Cost Code]]&gt;" ",VALUE(
_xlfn.XLOOKUP(MID(Table_Products[[#This Row],[Cost Code]],1,1),'CodeKey'!C:C,'CodeKey'!D:D)&amp;
_xlfn.XLOOKUP(MID(Table_Products[[#This Row],[Cost Code]],2,1),'CodeKey'!C:C,'CodeKey'!D:D)&amp;
_xlfn.XLOOKUP(MID(Table_Products[[#This Row],[Cost Code]],3,1),'CodeKey'!C:C,'CodeKey'!D:D)
)," ")</f>
        <v xml:space="preserve"> </v>
      </c>
      <c r="G15" s="23" t="str">
        <f>IFERROR(IF(AND(Table_Products[[#This Row],[Cost Price]]&gt;0),Table_Products[[#This Row],[Cost Price]]+(Table_Products[[#This Row],[Cost Price]]*50%)," ")," ")</f>
        <v xml:space="preserve"> </v>
      </c>
      <c r="H15" s="21"/>
      <c r="I15" s="24" t="str">
        <f>IF(SUMIFS(Table_Sales[Quantity Sold],Table_Sales[Product Name],Table_Products[[#This Row],[Product Name]])=0," ",SUMIFS(Table_Sales[Quantity Sold],Table_Sales[Product Name],Table_Products[[#This Row],[Product Name]]))</f>
        <v xml:space="preserve"> </v>
      </c>
      <c r="J15" s="25" t="str">
        <f>IFERROR(IF(AND(Table_Products[[#This Row],[Opening Stock]]&gt;0,Table_Products[[#This Row],[Quantity Sold]]&gt;0),Table_Products[[#This Row],[Opening Stock]]-Table_Products[[#This Row],[Quantity Sold]]," ")," ")</f>
        <v xml:space="preserve"> </v>
      </c>
      <c r="K15" s="23" t="str">
        <f>IFERROR(IF(AND(Table_Products[[#This Row],[Cost Price]]&gt;0,Table_Products[[#This Row],[Current Inventory]]&gt;0),Table_Products[[#This Row],[Current Inventory]]*Table_Products[[#This Row],[Cost Price]]," ")," ")</f>
        <v xml:space="preserve"> </v>
      </c>
    </row>
    <row r="16" spans="1:20" x14ac:dyDescent="0.35">
      <c r="A16" s="29"/>
      <c r="B16" s="29"/>
      <c r="C16" s="23" t="str">
        <f>_xlfn.XLOOKUP(Table_Products[[#This Row],[Product Name]],Table6[Prodcuts],Table6[Product ID]," ")</f>
        <v xml:space="preserve"> </v>
      </c>
      <c r="F16" s="23" t="str">
        <f>IF(Table_Products[[#This Row],[Cost Code]]&gt;" ",VALUE(
_xlfn.XLOOKUP(MID(Table_Products[[#This Row],[Cost Code]],1,1),'CodeKey'!C:C,'CodeKey'!D:D)&amp;
_xlfn.XLOOKUP(MID(Table_Products[[#This Row],[Cost Code]],2,1),'CodeKey'!C:C,'CodeKey'!D:D)&amp;
_xlfn.XLOOKUP(MID(Table_Products[[#This Row],[Cost Code]],3,1),'CodeKey'!C:C,'CodeKey'!D:D)
)," ")</f>
        <v xml:space="preserve"> </v>
      </c>
      <c r="G16" s="23" t="str">
        <f>IFERROR(IF(AND(Table_Products[[#This Row],[Cost Price]]&gt;0),Table_Products[[#This Row],[Cost Price]]+(Table_Products[[#This Row],[Cost Price]]*50%)," ")," ")</f>
        <v xml:space="preserve"> </v>
      </c>
      <c r="H16" s="21"/>
      <c r="I16" s="24" t="str">
        <f>IF(SUMIFS(Table_Sales[Quantity Sold],Table_Sales[Product Name],Table_Products[[#This Row],[Product Name]])=0," ",SUMIFS(Table_Sales[Quantity Sold],Table_Sales[Product Name],Table_Products[[#This Row],[Product Name]]))</f>
        <v xml:space="preserve"> </v>
      </c>
      <c r="J16" s="25" t="str">
        <f>IFERROR(IF(AND(Table_Products[[#This Row],[Opening Stock]]&gt;0,Table_Products[[#This Row],[Quantity Sold]]&gt;0),Table_Products[[#This Row],[Opening Stock]]-Table_Products[[#This Row],[Quantity Sold]]," ")," ")</f>
        <v xml:space="preserve"> </v>
      </c>
      <c r="K16" s="23" t="str">
        <f>IFERROR(IF(AND(Table_Products[[#This Row],[Cost Price]]&gt;0,Table_Products[[#This Row],[Current Inventory]]&gt;0),Table_Products[[#This Row],[Current Inventory]]*Table_Products[[#This Row],[Cost Price]]," ")," ")</f>
        <v xml:space="preserve"> </v>
      </c>
    </row>
    <row r="17" spans="1:2" x14ac:dyDescent="0.35">
      <c r="A17" s="29"/>
      <c r="B17" s="29"/>
    </row>
    <row r="18" spans="1:2" x14ac:dyDescent="0.35">
      <c r="A18" s="29"/>
      <c r="B18" s="29"/>
    </row>
    <row r="19" spans="1:2" x14ac:dyDescent="0.35">
      <c r="A19" s="29"/>
      <c r="B19" s="29"/>
    </row>
    <row r="20" spans="1:2" x14ac:dyDescent="0.35">
      <c r="A20" s="29"/>
      <c r="B20" s="29"/>
    </row>
  </sheetData>
  <sheetProtection algorithmName="SHA-512" hashValue="TNu4Kqh3OZ3SDnnOKvMhllPZv97/ycEGXniukhYu8xP5LAmlWSTADjkh9mhVWZwSde9HKMRzWCNnCKonh3nIlw==" saltValue="5MNG8dTVwMtT3O/ax9kapA==" spinCount="100000" sheet="1" objects="1" scenarios="1"/>
  <dataValidations count="1">
    <dataValidation type="list" allowBlank="1" showInputMessage="1" showErrorMessage="1" sqref="D2:D16" xr:uid="{3675F369-FDAD-4BC4-8E5B-8CEED9CF0CBB}">
      <formula1>$S$3:$S$12</formula1>
    </dataValidation>
  </dataValidations>
  <pageMargins left="0.75" right="0.75" top="1" bottom="1" header="0.5" footer="0.5"/>
  <ignoredErrors>
    <ignoredError sqref="F2 F3:F11" calculatedColumn="1"/>
  </ignoredErrors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</sheetPr>
  <dimension ref="A1:M201"/>
  <sheetViews>
    <sheetView workbookViewId="0">
      <pane ySplit="1" topLeftCell="A2" activePane="bottomLeft" state="frozen"/>
      <selection pane="bottomLeft" activeCell="L155" sqref="L155"/>
    </sheetView>
  </sheetViews>
  <sheetFormatPr defaultRowHeight="14.5" x14ac:dyDescent="0.35"/>
  <cols>
    <col min="1" max="2" width="8.7265625" style="29"/>
    <col min="3" max="3" width="8.453125" style="12" bestFit="1" customWidth="1"/>
    <col min="4" max="4" width="17" style="12" customWidth="1"/>
    <col min="5" max="5" width="19" style="12" customWidth="1"/>
    <col min="6" max="6" width="18.6328125" style="12" customWidth="1"/>
    <col min="7" max="7" width="12.90625" style="14" customWidth="1"/>
    <col min="8" max="8" width="13.81640625" style="12" bestFit="1" customWidth="1"/>
    <col min="9" max="9" width="13.453125" style="12" bestFit="1" customWidth="1"/>
    <col min="10" max="10" width="12.08984375" style="12" bestFit="1" customWidth="1"/>
    <col min="11" max="11" width="8.453125" style="14" bestFit="1" customWidth="1"/>
    <col min="12" max="12" width="17.7265625" style="14" bestFit="1" customWidth="1"/>
    <col min="13" max="13" width="11.6328125" style="14" bestFit="1" customWidth="1"/>
    <col min="14" max="16384" width="8.7265625" style="5"/>
  </cols>
  <sheetData>
    <row r="1" spans="1:13" s="10" customFormat="1" ht="23.5" customHeight="1" x14ac:dyDescent="0.4">
      <c r="A1" s="29"/>
      <c r="B1" s="29"/>
      <c r="C1" s="9" t="s">
        <v>6</v>
      </c>
      <c r="D1" s="9" t="s">
        <v>13</v>
      </c>
      <c r="E1" s="9" t="s">
        <v>14</v>
      </c>
      <c r="F1" s="9" t="s">
        <v>15</v>
      </c>
      <c r="G1" s="15" t="s">
        <v>0</v>
      </c>
      <c r="H1" s="9" t="s">
        <v>1</v>
      </c>
      <c r="I1" s="9" t="s">
        <v>16</v>
      </c>
      <c r="J1" s="9" t="s">
        <v>4</v>
      </c>
      <c r="K1" s="15" t="s">
        <v>17</v>
      </c>
      <c r="L1" s="15" t="s">
        <v>18</v>
      </c>
      <c r="M1" s="15" t="s">
        <v>19</v>
      </c>
    </row>
    <row r="2" spans="1:13" x14ac:dyDescent="0.35">
      <c r="C2" s="11">
        <v>46149</v>
      </c>
      <c r="D2" s="12" t="s">
        <v>20</v>
      </c>
      <c r="E2" s="12" t="s">
        <v>21</v>
      </c>
      <c r="F2" s="12" t="s">
        <v>22</v>
      </c>
      <c r="G2" s="14" t="str">
        <f>_xlfn.XLOOKUP(Table_Sales[[#This Row],[Product Name]],Table6[Prodcuts],Table6[Product ID]," ")</f>
        <v>SH001</v>
      </c>
      <c r="H2" s="12" t="s">
        <v>39</v>
      </c>
      <c r="I2" s="12">
        <v>2</v>
      </c>
      <c r="J2" s="12">
        <v>1050</v>
      </c>
      <c r="K2" s="14">
        <f>IF(AND(Table_Sales[[#This Row],[Quantity Sold]]&gt;0,Table_Sales[[#This Row],[Selling Price]]&gt;0),Table_Sales[[#This Row],[Quantity Sold]]*Table_Sales[[#This Row],[Selling Price]]," ")</f>
        <v>2100</v>
      </c>
      <c r="L2" s="14">
        <f>IF(AND(Table_Sales[[#This Row],[Quantity Sold]]&gt;0,_xlfn.XLOOKUP(Table_Sales[[#This Row],[Product Name]],Inventory!D:D,Inventory!F:F)&gt;0),I2*_xlfn.XLOOKUP(Table_Sales[[#This Row],[Product Name]],Inventory!D:D,Inventory!F:F)," ")</f>
        <v>600</v>
      </c>
      <c r="M2" s="14">
        <f>IFERROR(
IF(AND(Table_Sales[[#This Row],[Revenue]]&gt;0,Table_Sales[[#This Row],[Cost of Goods Sold]]&gt;0),
Table_Sales[[#This Row],[Revenue]]-Table_Sales[[#This Row],[Cost of Goods Sold]],
""),
"")</f>
        <v>1500</v>
      </c>
    </row>
    <row r="3" spans="1:13" x14ac:dyDescent="0.35">
      <c r="C3" s="13"/>
      <c r="D3" s="12" t="s">
        <v>90</v>
      </c>
      <c r="G3" s="14" t="str">
        <f>_xlfn.XLOOKUP(Table_Sales[[#This Row],[Product Name]],Table6[Prodcuts],Table6[Product ID]," ")</f>
        <v xml:space="preserve"> </v>
      </c>
      <c r="K3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3" s="14" t="str">
        <f>IF(AND(Table_Sales[[#This Row],[Quantity Sold]]&gt;0,_xlfn.XLOOKUP(Table_Sales[[#This Row],[Product Name]],Inventory!D:D,Inventory!F:F)&gt;0),I3*_xlfn.XLOOKUP(Table_Sales[[#This Row],[Product Name]],Inventory!D:D,Inventory!F:F)," ")</f>
        <v xml:space="preserve"> </v>
      </c>
      <c r="M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4" spans="1:13" x14ac:dyDescent="0.35">
      <c r="C4" s="13"/>
      <c r="D4" s="12" t="s">
        <v>91</v>
      </c>
      <c r="G4" s="14" t="str">
        <f>_xlfn.XLOOKUP(Table_Sales[[#This Row],[Product Name]],Table6[Prodcuts],Table6[Product ID]," ")</f>
        <v xml:space="preserve"> </v>
      </c>
      <c r="K4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4" s="14" t="str">
        <f>IF(AND(Table_Sales[[#This Row],[Quantity Sold]]&gt;0,_xlfn.XLOOKUP(Table_Sales[[#This Row],[Product Name]],Inventory!D:D,Inventory!F:F)&gt;0),I4*_xlfn.XLOOKUP(Table_Sales[[#This Row],[Product Name]],Inventory!D:D,Inventory!F:F)," ")</f>
        <v xml:space="preserve"> </v>
      </c>
      <c r="M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5" spans="1:13" x14ac:dyDescent="0.35">
      <c r="C5" s="13"/>
      <c r="D5" s="12" t="s">
        <v>92</v>
      </c>
      <c r="G5" s="14" t="str">
        <f>_xlfn.XLOOKUP(Table_Sales[[#This Row],[Product Name]],Table6[Prodcuts],Table6[Product ID]," ")</f>
        <v xml:space="preserve"> </v>
      </c>
      <c r="K5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5" s="14" t="str">
        <f>IF(AND(Table_Sales[[#This Row],[Quantity Sold]]&gt;0,_xlfn.XLOOKUP(Table_Sales[[#This Row],[Product Name]],Inventory!D:D,Inventory!F:F)&gt;0),I5*_xlfn.XLOOKUP(Table_Sales[[#This Row],[Product Name]],Inventory!D:D,Inventory!F:F)," ")</f>
        <v xml:space="preserve"> </v>
      </c>
      <c r="M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6" spans="1:13" x14ac:dyDescent="0.35">
      <c r="C6" s="13"/>
      <c r="D6" s="12" t="s">
        <v>93</v>
      </c>
      <c r="G6" s="14" t="str">
        <f>_xlfn.XLOOKUP(Table_Sales[[#This Row],[Product Name]],Table6[Prodcuts],Table6[Product ID]," ")</f>
        <v xml:space="preserve"> </v>
      </c>
      <c r="K6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6" s="14" t="str">
        <f>IF(AND(Table_Sales[[#This Row],[Quantity Sold]]&gt;0,_xlfn.XLOOKUP(Table_Sales[[#This Row],[Product Name]],Inventory!D:D,Inventory!F:F)&gt;0),I6*_xlfn.XLOOKUP(Table_Sales[[#This Row],[Product Name]],Inventory!D:D,Inventory!F:F)," ")</f>
        <v xml:space="preserve"> </v>
      </c>
      <c r="M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7" spans="1:13" x14ac:dyDescent="0.35">
      <c r="C7" s="13"/>
      <c r="D7" s="12" t="s">
        <v>94</v>
      </c>
      <c r="G7" s="14" t="str">
        <f>_xlfn.XLOOKUP(Table_Sales[[#This Row],[Product Name]],Table6[Prodcuts],Table6[Product ID]," ")</f>
        <v xml:space="preserve"> </v>
      </c>
      <c r="K7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7" s="14" t="str">
        <f>IF(AND(Table_Sales[[#This Row],[Quantity Sold]]&gt;0,_xlfn.XLOOKUP(Table_Sales[[#This Row],[Product Name]],Inventory!D:D,Inventory!F:F)&gt;0),I7*_xlfn.XLOOKUP(Table_Sales[[#This Row],[Product Name]],Inventory!D:D,Inventory!F:F)," ")</f>
        <v xml:space="preserve"> </v>
      </c>
      <c r="M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8" spans="1:13" x14ac:dyDescent="0.35">
      <c r="C8" s="13"/>
      <c r="D8" s="12" t="s">
        <v>95</v>
      </c>
      <c r="G8" s="14" t="str">
        <f>_xlfn.XLOOKUP(Table_Sales[[#This Row],[Product Name]],Table6[Prodcuts],Table6[Product ID]," ")</f>
        <v xml:space="preserve"> </v>
      </c>
      <c r="K8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8" s="14" t="str">
        <f>IF(AND(Table_Sales[[#This Row],[Quantity Sold]]&gt;0,_xlfn.XLOOKUP(Table_Sales[[#This Row],[Product Name]],Inventory!D:D,Inventory!F:F)&gt;0),I8*_xlfn.XLOOKUP(Table_Sales[[#This Row],[Product Name]],Inventory!D:D,Inventory!F:F)," ")</f>
        <v xml:space="preserve"> </v>
      </c>
      <c r="M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9" spans="1:13" x14ac:dyDescent="0.35">
      <c r="C9" s="13"/>
      <c r="D9" s="12" t="s">
        <v>96</v>
      </c>
      <c r="G9" s="14" t="str">
        <f>_xlfn.XLOOKUP(Table_Sales[[#This Row],[Product Name]],Table6[Prodcuts],Table6[Product ID]," ")</f>
        <v xml:space="preserve"> </v>
      </c>
      <c r="K9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9" s="14" t="str">
        <f>IF(AND(Table_Sales[[#This Row],[Quantity Sold]]&gt;0,_xlfn.XLOOKUP(Table_Sales[[#This Row],[Product Name]],Inventory!D:D,Inventory!F:F)&gt;0),I9*_xlfn.XLOOKUP(Table_Sales[[#This Row],[Product Name]],Inventory!D:D,Inventory!F:F)," ")</f>
        <v xml:space="preserve"> </v>
      </c>
      <c r="M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0" spans="1:13" x14ac:dyDescent="0.35">
      <c r="C10" s="13"/>
      <c r="D10" s="12" t="s">
        <v>97</v>
      </c>
      <c r="G10" s="14" t="str">
        <f>_xlfn.XLOOKUP(Table_Sales[[#This Row],[Product Name]],Table6[Prodcuts],Table6[Product ID]," ")</f>
        <v xml:space="preserve"> </v>
      </c>
      <c r="K10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10" s="14" t="str">
        <f>IF(AND(Table_Sales[[#This Row],[Quantity Sold]]&gt;0,_xlfn.XLOOKUP(Table_Sales[[#This Row],[Product Name]],Inventory!D:D,Inventory!F:F)&gt;0),I10*_xlfn.XLOOKUP(Table_Sales[[#This Row],[Product Name]],Inventory!D:D,Inventory!F:F)," ")</f>
        <v xml:space="preserve"> </v>
      </c>
      <c r="M1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1" spans="1:13" x14ac:dyDescent="0.35">
      <c r="C11" s="13"/>
      <c r="D11" s="12" t="s">
        <v>98</v>
      </c>
      <c r="G11" s="14" t="str">
        <f>_xlfn.XLOOKUP(Table_Sales[[#This Row],[Product Name]],Table6[Prodcuts],Table6[Product ID]," ")</f>
        <v xml:space="preserve"> </v>
      </c>
      <c r="K11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11" s="14" t="str">
        <f>IF(AND(Table_Sales[[#This Row],[Quantity Sold]]&gt;0,_xlfn.XLOOKUP(Table_Sales[[#This Row],[Product Name]],Inventory!D:D,Inventory!F:F)&gt;0),I11*_xlfn.XLOOKUP(Table_Sales[[#This Row],[Product Name]],Inventory!D:D,Inventory!F:F)," ")</f>
        <v xml:space="preserve"> </v>
      </c>
      <c r="M1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2" spans="1:13" x14ac:dyDescent="0.35">
      <c r="C12" s="13"/>
      <c r="D12" s="12" t="s">
        <v>99</v>
      </c>
      <c r="G12" s="14" t="str">
        <f>_xlfn.XLOOKUP(Table_Sales[[#This Row],[Product Name]],Table6[Prodcuts],Table6[Product ID]," ")</f>
        <v xml:space="preserve"> </v>
      </c>
      <c r="K12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12" s="14" t="str">
        <f>IF(AND(Table_Sales[[#This Row],[Quantity Sold]]&gt;0,_xlfn.XLOOKUP(Table_Sales[[#This Row],[Product Name]],Inventory!D:D,Inventory!F:F)&gt;0),I12*_xlfn.XLOOKUP(Table_Sales[[#This Row],[Product Name]],Inventory!D:D,Inventory!F:F)," ")</f>
        <v xml:space="preserve"> </v>
      </c>
      <c r="M1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3" spans="1:13" x14ac:dyDescent="0.35">
      <c r="C13" s="13"/>
      <c r="D13" s="12" t="s">
        <v>100</v>
      </c>
      <c r="G13" s="14" t="str">
        <f>_xlfn.XLOOKUP(Table_Sales[[#This Row],[Product Name]],Table6[Prodcuts],Table6[Product ID]," ")</f>
        <v xml:space="preserve"> </v>
      </c>
      <c r="K13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13" s="14" t="str">
        <f>IF(AND(Table_Sales[[#This Row],[Quantity Sold]]&gt;0,_xlfn.XLOOKUP(Table_Sales[[#This Row],[Product Name]],Inventory!D:D,Inventory!F:F)&gt;0),I13*_xlfn.XLOOKUP(Table_Sales[[#This Row],[Product Name]],Inventory!D:D,Inventory!F:F)," ")</f>
        <v xml:space="preserve"> </v>
      </c>
      <c r="M1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4" spans="1:13" x14ac:dyDescent="0.35">
      <c r="C14" s="13"/>
      <c r="D14" s="12" t="s">
        <v>101</v>
      </c>
      <c r="G14" s="14" t="str">
        <f>_xlfn.XLOOKUP(Table_Sales[[#This Row],[Product Name]],Table6[Prodcuts],Table6[Product ID]," ")</f>
        <v xml:space="preserve"> </v>
      </c>
      <c r="K14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14" s="14" t="str">
        <f>IF(AND(Table_Sales[[#This Row],[Quantity Sold]]&gt;0,_xlfn.XLOOKUP(Table_Sales[[#This Row],[Product Name]],Inventory!D:D,Inventory!F:F)&gt;0),I14*_xlfn.XLOOKUP(Table_Sales[[#This Row],[Product Name]],Inventory!D:D,Inventory!F:F)," ")</f>
        <v xml:space="preserve"> </v>
      </c>
      <c r="M1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5" spans="1:13" x14ac:dyDescent="0.35">
      <c r="C15" s="13"/>
      <c r="D15" s="12" t="s">
        <v>102</v>
      </c>
      <c r="G15" s="14" t="str">
        <f>_xlfn.XLOOKUP(Table_Sales[[#This Row],[Product Name]],Table6[Prodcuts],Table6[Product ID]," ")</f>
        <v xml:space="preserve"> </v>
      </c>
      <c r="K15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15" s="14" t="str">
        <f>IF(AND(Table_Sales[[#This Row],[Quantity Sold]]&gt;0,_xlfn.XLOOKUP(Table_Sales[[#This Row],[Product Name]],Inventory!D:D,Inventory!F:F)&gt;0),I15*_xlfn.XLOOKUP(Table_Sales[[#This Row],[Product Name]],Inventory!D:D,Inventory!F:F)," ")</f>
        <v xml:space="preserve"> </v>
      </c>
      <c r="M1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6" spans="1:13" x14ac:dyDescent="0.35">
      <c r="C16" s="13"/>
      <c r="D16" s="12" t="s">
        <v>103</v>
      </c>
      <c r="G16" s="14" t="str">
        <f>_xlfn.XLOOKUP(Table_Sales[[#This Row],[Product Name]],Table6[Prodcuts],Table6[Product ID]," ")</f>
        <v xml:space="preserve"> </v>
      </c>
      <c r="K16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16" s="14" t="str">
        <f>IF(AND(Table_Sales[[#This Row],[Quantity Sold]]&gt;0,_xlfn.XLOOKUP(Table_Sales[[#This Row],[Product Name]],Inventory!D:D,Inventory!F:F)&gt;0),I16*_xlfn.XLOOKUP(Table_Sales[[#This Row],[Product Name]],Inventory!D:D,Inventory!F:F)," ")</f>
        <v xml:space="preserve"> </v>
      </c>
      <c r="M1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7" spans="3:13" x14ac:dyDescent="0.35">
      <c r="C17" s="13"/>
      <c r="D17" s="12" t="s">
        <v>104</v>
      </c>
      <c r="G17" s="14" t="str">
        <f>_xlfn.XLOOKUP(Table_Sales[[#This Row],[Product Name]],Table6[Prodcuts],Table6[Product ID]," ")</f>
        <v xml:space="preserve"> </v>
      </c>
      <c r="K17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17" s="14" t="str">
        <f>IF(AND(Table_Sales[[#This Row],[Quantity Sold]]&gt;0,_xlfn.XLOOKUP(Table_Sales[[#This Row],[Product Name]],Inventory!D:D,Inventory!F:F)&gt;0),I17*_xlfn.XLOOKUP(Table_Sales[[#This Row],[Product Name]],Inventory!D:D,Inventory!F:F)," ")</f>
        <v xml:space="preserve"> </v>
      </c>
      <c r="M1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8" spans="3:13" x14ac:dyDescent="0.35">
      <c r="C18" s="13"/>
      <c r="D18" s="12" t="s">
        <v>105</v>
      </c>
      <c r="G18" s="14" t="str">
        <f>_xlfn.XLOOKUP(Table_Sales[[#This Row],[Product Name]],Table6[Prodcuts],Table6[Product ID]," ")</f>
        <v xml:space="preserve"> </v>
      </c>
      <c r="K18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18" s="14" t="str">
        <f>IF(AND(Table_Sales[[#This Row],[Quantity Sold]]&gt;0,_xlfn.XLOOKUP(Table_Sales[[#This Row],[Product Name]],Inventory!D:D,Inventory!F:F)&gt;0),I18*_xlfn.XLOOKUP(Table_Sales[[#This Row],[Product Name]],Inventory!D:D,Inventory!F:F)," ")</f>
        <v xml:space="preserve"> </v>
      </c>
      <c r="M1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9" spans="3:13" x14ac:dyDescent="0.35">
      <c r="C19" s="13"/>
      <c r="D19" s="12" t="s">
        <v>106</v>
      </c>
      <c r="G19" s="14" t="str">
        <f>_xlfn.XLOOKUP(Table_Sales[[#This Row],[Product Name]],Table6[Prodcuts],Table6[Product ID]," ")</f>
        <v xml:space="preserve"> </v>
      </c>
      <c r="K19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19" s="14" t="str">
        <f>IF(AND(Table_Sales[[#This Row],[Quantity Sold]]&gt;0,_xlfn.XLOOKUP(Table_Sales[[#This Row],[Product Name]],Inventory!D:D,Inventory!F:F)&gt;0),I19*_xlfn.XLOOKUP(Table_Sales[[#This Row],[Product Name]],Inventory!D:D,Inventory!F:F)," ")</f>
        <v xml:space="preserve"> </v>
      </c>
      <c r="M1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20" spans="3:13" x14ac:dyDescent="0.35">
      <c r="C20" s="13"/>
      <c r="D20" s="12" t="s">
        <v>107</v>
      </c>
      <c r="G20" s="14" t="str">
        <f>_xlfn.XLOOKUP(Table_Sales[[#This Row],[Product Name]],Table6[Prodcuts],Table6[Product ID]," ")</f>
        <v xml:space="preserve"> </v>
      </c>
      <c r="K20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20" s="14" t="str">
        <f>IF(AND(Table_Sales[[#This Row],[Quantity Sold]]&gt;0,_xlfn.XLOOKUP(Table_Sales[[#This Row],[Product Name]],Inventory!D:D,Inventory!F:F)&gt;0),I20*_xlfn.XLOOKUP(Table_Sales[[#This Row],[Product Name]],Inventory!D:D,Inventory!F:F)," ")</f>
        <v xml:space="preserve"> </v>
      </c>
      <c r="M2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21" spans="3:13" x14ac:dyDescent="0.35">
      <c r="C21" s="13"/>
      <c r="D21" s="12" t="s">
        <v>108</v>
      </c>
      <c r="G21" s="14" t="str">
        <f>_xlfn.XLOOKUP(Table_Sales[[#This Row],[Product Name]],Table6[Prodcuts],Table6[Product ID]," ")</f>
        <v xml:space="preserve"> </v>
      </c>
      <c r="K21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21" s="14" t="str">
        <f>IF(AND(Table_Sales[[#This Row],[Quantity Sold]]&gt;0,_xlfn.XLOOKUP(Table_Sales[[#This Row],[Product Name]],Inventory!D:D,Inventory!F:F)&gt;0),I21*_xlfn.XLOOKUP(Table_Sales[[#This Row],[Product Name]],Inventory!D:D,Inventory!F:F)," ")</f>
        <v xml:space="preserve"> </v>
      </c>
      <c r="M2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22" spans="3:13" x14ac:dyDescent="0.35">
      <c r="C22" s="13"/>
      <c r="D22" s="12" t="s">
        <v>109</v>
      </c>
      <c r="G22" s="14" t="str">
        <f>_xlfn.XLOOKUP(Table_Sales[[#This Row],[Product Name]],Table6[Prodcuts],Table6[Product ID]," ")</f>
        <v xml:space="preserve"> </v>
      </c>
      <c r="K22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22" s="14" t="str">
        <f>IF(AND(Table_Sales[[#This Row],[Quantity Sold]]&gt;0,_xlfn.XLOOKUP(Table_Sales[[#This Row],[Product Name]],Inventory!D:D,Inventory!F:F)&gt;0),I22*_xlfn.XLOOKUP(Table_Sales[[#This Row],[Product Name]],Inventory!D:D,Inventory!F:F)," ")</f>
        <v xml:space="preserve"> </v>
      </c>
      <c r="M2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23" spans="3:13" x14ac:dyDescent="0.35">
      <c r="C23" s="13"/>
      <c r="D23" s="12" t="s">
        <v>110</v>
      </c>
      <c r="G23" s="14" t="str">
        <f>_xlfn.XLOOKUP(Table_Sales[[#This Row],[Product Name]],Table6[Prodcuts],Table6[Product ID]," ")</f>
        <v xml:space="preserve"> </v>
      </c>
      <c r="K23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23" s="14" t="str">
        <f>IF(AND(Table_Sales[[#This Row],[Quantity Sold]]&gt;0,_xlfn.XLOOKUP(Table_Sales[[#This Row],[Product Name]],Inventory!D:D,Inventory!F:F)&gt;0),I23*_xlfn.XLOOKUP(Table_Sales[[#This Row],[Product Name]],Inventory!D:D,Inventory!F:F)," ")</f>
        <v xml:space="preserve"> </v>
      </c>
      <c r="M2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24" spans="3:13" x14ac:dyDescent="0.35">
      <c r="C24" s="13"/>
      <c r="D24" s="12" t="s">
        <v>111</v>
      </c>
      <c r="G24" s="14" t="str">
        <f>_xlfn.XLOOKUP(Table_Sales[[#This Row],[Product Name]],Table6[Prodcuts],Table6[Product ID]," ")</f>
        <v xml:space="preserve"> </v>
      </c>
      <c r="K24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24" s="14" t="str">
        <f>IF(AND(Table_Sales[[#This Row],[Quantity Sold]]&gt;0,_xlfn.XLOOKUP(Table_Sales[[#This Row],[Product Name]],Inventory!D:D,Inventory!F:F)&gt;0),I24*_xlfn.XLOOKUP(Table_Sales[[#This Row],[Product Name]],Inventory!D:D,Inventory!F:F)," ")</f>
        <v xml:space="preserve"> </v>
      </c>
      <c r="M2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25" spans="3:13" x14ac:dyDescent="0.35">
      <c r="C25" s="13"/>
      <c r="D25" s="12" t="s">
        <v>112</v>
      </c>
      <c r="G25" s="14" t="str">
        <f>_xlfn.XLOOKUP(Table_Sales[[#This Row],[Product Name]],Table6[Prodcuts],Table6[Product ID]," ")</f>
        <v xml:space="preserve"> </v>
      </c>
      <c r="K25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25" s="14" t="str">
        <f>IF(AND(Table_Sales[[#This Row],[Quantity Sold]]&gt;0,_xlfn.XLOOKUP(Table_Sales[[#This Row],[Product Name]],Inventory!D:D,Inventory!F:F)&gt;0),I25*_xlfn.XLOOKUP(Table_Sales[[#This Row],[Product Name]],Inventory!D:D,Inventory!F:F)," ")</f>
        <v xml:space="preserve"> </v>
      </c>
      <c r="M2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26" spans="3:13" x14ac:dyDescent="0.35">
      <c r="C26" s="13"/>
      <c r="D26" s="12" t="s">
        <v>113</v>
      </c>
      <c r="G26" s="14" t="str">
        <f>_xlfn.XLOOKUP(Table_Sales[[#This Row],[Product Name]],Table6[Prodcuts],Table6[Product ID]," ")</f>
        <v xml:space="preserve"> </v>
      </c>
      <c r="K26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26" s="14" t="str">
        <f>IF(AND(Table_Sales[[#This Row],[Quantity Sold]]&gt;0,_xlfn.XLOOKUP(Table_Sales[[#This Row],[Product Name]],Inventory!D:D,Inventory!F:F)&gt;0),I26*_xlfn.XLOOKUP(Table_Sales[[#This Row],[Product Name]],Inventory!D:D,Inventory!F:F)," ")</f>
        <v xml:space="preserve"> </v>
      </c>
      <c r="M2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27" spans="3:13" x14ac:dyDescent="0.35">
      <c r="C27" s="13"/>
      <c r="D27" s="12" t="s">
        <v>114</v>
      </c>
      <c r="G27" s="14" t="str">
        <f>_xlfn.XLOOKUP(Table_Sales[[#This Row],[Product Name]],Table6[Prodcuts],Table6[Product ID]," ")</f>
        <v xml:space="preserve"> </v>
      </c>
      <c r="K27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27" s="14" t="str">
        <f>IF(AND(Table_Sales[[#This Row],[Quantity Sold]]&gt;0,_xlfn.XLOOKUP(Table_Sales[[#This Row],[Product Name]],Inventory!D:D,Inventory!F:F)&gt;0),I27*_xlfn.XLOOKUP(Table_Sales[[#This Row],[Product Name]],Inventory!D:D,Inventory!F:F)," ")</f>
        <v xml:space="preserve"> </v>
      </c>
      <c r="M2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28" spans="3:13" x14ac:dyDescent="0.35">
      <c r="C28" s="13"/>
      <c r="D28" s="12" t="s">
        <v>115</v>
      </c>
      <c r="G28" s="14" t="str">
        <f>_xlfn.XLOOKUP(Table_Sales[[#This Row],[Product Name]],Table6[Prodcuts],Table6[Product ID]," ")</f>
        <v xml:space="preserve"> </v>
      </c>
      <c r="K28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28" s="14" t="str">
        <f>IF(AND(Table_Sales[[#This Row],[Quantity Sold]]&gt;0,_xlfn.XLOOKUP(Table_Sales[[#This Row],[Product Name]],Inventory!D:D,Inventory!F:F)&gt;0),I28*_xlfn.XLOOKUP(Table_Sales[[#This Row],[Product Name]],Inventory!D:D,Inventory!F:F)," ")</f>
        <v xml:space="preserve"> </v>
      </c>
      <c r="M2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29" spans="3:13" x14ac:dyDescent="0.35">
      <c r="C29" s="13"/>
      <c r="D29" s="12" t="s">
        <v>116</v>
      </c>
      <c r="G29" s="14" t="str">
        <f>_xlfn.XLOOKUP(Table_Sales[[#This Row],[Product Name]],Table6[Prodcuts],Table6[Product ID]," ")</f>
        <v xml:space="preserve"> </v>
      </c>
      <c r="K29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29" s="14" t="str">
        <f>IF(AND(Table_Sales[[#This Row],[Quantity Sold]]&gt;0,_xlfn.XLOOKUP(Table_Sales[[#This Row],[Product Name]],Inventory!D:D,Inventory!F:F)&gt;0),I29*_xlfn.XLOOKUP(Table_Sales[[#This Row],[Product Name]],Inventory!D:D,Inventory!F:F)," ")</f>
        <v xml:space="preserve"> </v>
      </c>
      <c r="M2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30" spans="3:13" x14ac:dyDescent="0.35">
      <c r="C30" s="13"/>
      <c r="D30" s="12" t="s">
        <v>117</v>
      </c>
      <c r="G30" s="14" t="str">
        <f>_xlfn.XLOOKUP(Table_Sales[[#This Row],[Product Name]],Table6[Prodcuts],Table6[Product ID]," ")</f>
        <v xml:space="preserve"> </v>
      </c>
      <c r="K30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30" s="14" t="str">
        <f>IF(AND(Table_Sales[[#This Row],[Quantity Sold]]&gt;0,_xlfn.XLOOKUP(Table_Sales[[#This Row],[Product Name]],Inventory!D:D,Inventory!F:F)&gt;0),I30*_xlfn.XLOOKUP(Table_Sales[[#This Row],[Product Name]],Inventory!D:D,Inventory!F:F)," ")</f>
        <v xml:space="preserve"> </v>
      </c>
      <c r="M3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31" spans="3:13" x14ac:dyDescent="0.35">
      <c r="C31" s="13"/>
      <c r="D31" s="12" t="s">
        <v>118</v>
      </c>
      <c r="G31" s="14" t="str">
        <f>_xlfn.XLOOKUP(Table_Sales[[#This Row],[Product Name]],Table6[Prodcuts],Table6[Product ID]," ")</f>
        <v xml:space="preserve"> </v>
      </c>
      <c r="K31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31" s="14" t="str">
        <f>IF(AND(Table_Sales[[#This Row],[Quantity Sold]]&gt;0,_xlfn.XLOOKUP(Table_Sales[[#This Row],[Product Name]],Inventory!D:D,Inventory!F:F)&gt;0),I31*_xlfn.XLOOKUP(Table_Sales[[#This Row],[Product Name]],Inventory!D:D,Inventory!F:F)," ")</f>
        <v xml:space="preserve"> </v>
      </c>
      <c r="M3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32" spans="3:13" x14ac:dyDescent="0.35">
      <c r="C32" s="13"/>
      <c r="D32" s="12" t="s">
        <v>119</v>
      </c>
      <c r="G32" s="14" t="str">
        <f>_xlfn.XLOOKUP(Table_Sales[[#This Row],[Product Name]],Table6[Prodcuts],Table6[Product ID]," ")</f>
        <v xml:space="preserve"> </v>
      </c>
      <c r="K32" s="14" t="str">
        <f>IF(AND(Table_Sales[[#This Row],[Quantity Sold]]&gt;0,Table_Sales[[#This Row],[Selling Price]]&gt;0),Table_Sales[[#This Row],[Quantity Sold]]*Table_Sales[[#This Row],[Selling Price]]," ")</f>
        <v xml:space="preserve"> </v>
      </c>
      <c r="L32" s="14" t="str">
        <f>IF(AND(Table_Sales[[#This Row],[Quantity Sold]]&gt;0,_xlfn.XLOOKUP(Table_Sales[[#This Row],[Product Name]],Inventory!D:D,Inventory!F:F)&gt;0),I32*_xlfn.XLOOKUP(Table_Sales[[#This Row],[Product Name]],Inventory!D:D,Inventory!F:F)," ")</f>
        <v xml:space="preserve"> </v>
      </c>
      <c r="M3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33" spans="3:13" x14ac:dyDescent="0.35">
      <c r="C33" s="13"/>
      <c r="D33" s="12" t="s">
        <v>120</v>
      </c>
      <c r="G33" s="14" t="str">
        <f>_xlfn.XLOOKUP(Table_Sales[[#This Row],[Product Name]],Table6[Prodcuts],Table6[Product ID]," ")</f>
        <v xml:space="preserve"> </v>
      </c>
      <c r="K3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33" s="16" t="str">
        <f>IF(AND(Table_Sales[[#This Row],[Quantity Sold]]&gt;0,_xlfn.XLOOKUP(Table_Sales[[#This Row],[Product Name]],Inventory!D:D,Inventory!F:F)&gt;0),I33*_xlfn.XLOOKUP(Table_Sales[[#This Row],[Product Name]],Inventory!D:D,Inventory!F:F)," ")</f>
        <v xml:space="preserve"> </v>
      </c>
      <c r="M3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34" spans="3:13" x14ac:dyDescent="0.35">
      <c r="C34" s="13"/>
      <c r="D34" s="12" t="s">
        <v>121</v>
      </c>
      <c r="G34" s="14" t="str">
        <f>_xlfn.XLOOKUP(Table_Sales[[#This Row],[Product Name]],Table6[Prodcuts],Table6[Product ID]," ")</f>
        <v xml:space="preserve"> </v>
      </c>
      <c r="K3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34" s="16" t="str">
        <f>IF(AND(Table_Sales[[#This Row],[Quantity Sold]]&gt;0,_xlfn.XLOOKUP(Table_Sales[[#This Row],[Product Name]],Inventory!D:D,Inventory!F:F)&gt;0),I34*_xlfn.XLOOKUP(Table_Sales[[#This Row],[Product Name]],Inventory!D:D,Inventory!F:F)," ")</f>
        <v xml:space="preserve"> </v>
      </c>
      <c r="M3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35" spans="3:13" x14ac:dyDescent="0.35">
      <c r="C35" s="13"/>
      <c r="D35" s="12" t="s">
        <v>122</v>
      </c>
      <c r="G35" s="14" t="str">
        <f>_xlfn.XLOOKUP(Table_Sales[[#This Row],[Product Name]],Table6[Prodcuts],Table6[Product ID]," ")</f>
        <v xml:space="preserve"> </v>
      </c>
      <c r="K3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35" s="16" t="str">
        <f>IF(AND(Table_Sales[[#This Row],[Quantity Sold]]&gt;0,_xlfn.XLOOKUP(Table_Sales[[#This Row],[Product Name]],Inventory!D:D,Inventory!F:F)&gt;0),I35*_xlfn.XLOOKUP(Table_Sales[[#This Row],[Product Name]],Inventory!D:D,Inventory!F:F)," ")</f>
        <v xml:space="preserve"> </v>
      </c>
      <c r="M3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36" spans="3:13" x14ac:dyDescent="0.35">
      <c r="C36" s="13"/>
      <c r="D36" s="12" t="s">
        <v>123</v>
      </c>
      <c r="G36" s="14" t="str">
        <f>_xlfn.XLOOKUP(Table_Sales[[#This Row],[Product Name]],Table6[Prodcuts],Table6[Product ID]," ")</f>
        <v xml:space="preserve"> </v>
      </c>
      <c r="K3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36" s="16" t="str">
        <f>IF(AND(Table_Sales[[#This Row],[Quantity Sold]]&gt;0,_xlfn.XLOOKUP(Table_Sales[[#This Row],[Product Name]],Inventory!D:D,Inventory!F:F)&gt;0),I36*_xlfn.XLOOKUP(Table_Sales[[#This Row],[Product Name]],Inventory!D:D,Inventory!F:F)," ")</f>
        <v xml:space="preserve"> </v>
      </c>
      <c r="M3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37" spans="3:13" x14ac:dyDescent="0.35">
      <c r="C37" s="13"/>
      <c r="D37" s="12" t="s">
        <v>124</v>
      </c>
      <c r="G37" s="14" t="str">
        <f>_xlfn.XLOOKUP(Table_Sales[[#This Row],[Product Name]],Table6[Prodcuts],Table6[Product ID]," ")</f>
        <v xml:space="preserve"> </v>
      </c>
      <c r="K3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37" s="16" t="str">
        <f>IF(AND(Table_Sales[[#This Row],[Quantity Sold]]&gt;0,_xlfn.XLOOKUP(Table_Sales[[#This Row],[Product Name]],Inventory!D:D,Inventory!F:F)&gt;0),I37*_xlfn.XLOOKUP(Table_Sales[[#This Row],[Product Name]],Inventory!D:D,Inventory!F:F)," ")</f>
        <v xml:space="preserve"> </v>
      </c>
      <c r="M3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38" spans="3:13" x14ac:dyDescent="0.35">
      <c r="C38" s="13"/>
      <c r="D38" s="12" t="s">
        <v>125</v>
      </c>
      <c r="G38" s="14" t="str">
        <f>_xlfn.XLOOKUP(Table_Sales[[#This Row],[Product Name]],Table6[Prodcuts],Table6[Product ID]," ")</f>
        <v xml:space="preserve"> </v>
      </c>
      <c r="K3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38" s="16" t="str">
        <f>IF(AND(Table_Sales[[#This Row],[Quantity Sold]]&gt;0,_xlfn.XLOOKUP(Table_Sales[[#This Row],[Product Name]],Inventory!D:D,Inventory!F:F)&gt;0),I38*_xlfn.XLOOKUP(Table_Sales[[#This Row],[Product Name]],Inventory!D:D,Inventory!F:F)," ")</f>
        <v xml:space="preserve"> </v>
      </c>
      <c r="M3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39" spans="3:13" x14ac:dyDescent="0.35">
      <c r="C39" s="13"/>
      <c r="D39" s="12" t="s">
        <v>126</v>
      </c>
      <c r="G39" s="14" t="str">
        <f>_xlfn.XLOOKUP(Table_Sales[[#This Row],[Product Name]],Table6[Prodcuts],Table6[Product ID]," ")</f>
        <v xml:space="preserve"> </v>
      </c>
      <c r="K3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39" s="16" t="str">
        <f>IF(AND(Table_Sales[[#This Row],[Quantity Sold]]&gt;0,_xlfn.XLOOKUP(Table_Sales[[#This Row],[Product Name]],Inventory!D:D,Inventory!F:F)&gt;0),I39*_xlfn.XLOOKUP(Table_Sales[[#This Row],[Product Name]],Inventory!D:D,Inventory!F:F)," ")</f>
        <v xml:space="preserve"> </v>
      </c>
      <c r="M3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40" spans="3:13" x14ac:dyDescent="0.35">
      <c r="C40" s="13"/>
      <c r="D40" s="12" t="s">
        <v>127</v>
      </c>
      <c r="G40" s="14" t="str">
        <f>_xlfn.XLOOKUP(Table_Sales[[#This Row],[Product Name]],Table6[Prodcuts],Table6[Product ID]," ")</f>
        <v xml:space="preserve"> </v>
      </c>
      <c r="K4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40" s="16" t="str">
        <f>IF(AND(Table_Sales[[#This Row],[Quantity Sold]]&gt;0,_xlfn.XLOOKUP(Table_Sales[[#This Row],[Product Name]],Inventory!D:D,Inventory!F:F)&gt;0),I40*_xlfn.XLOOKUP(Table_Sales[[#This Row],[Product Name]],Inventory!D:D,Inventory!F:F)," ")</f>
        <v xml:space="preserve"> </v>
      </c>
      <c r="M4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41" spans="3:13" x14ac:dyDescent="0.35">
      <c r="C41" s="13"/>
      <c r="D41" s="12" t="s">
        <v>128</v>
      </c>
      <c r="G41" s="14" t="str">
        <f>_xlfn.XLOOKUP(Table_Sales[[#This Row],[Product Name]],Table6[Prodcuts],Table6[Product ID]," ")</f>
        <v xml:space="preserve"> </v>
      </c>
      <c r="K4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41" s="16" t="str">
        <f>IF(AND(Table_Sales[[#This Row],[Quantity Sold]]&gt;0,_xlfn.XLOOKUP(Table_Sales[[#This Row],[Product Name]],Inventory!D:D,Inventory!F:F)&gt;0),I41*_xlfn.XLOOKUP(Table_Sales[[#This Row],[Product Name]],Inventory!D:D,Inventory!F:F)," ")</f>
        <v xml:space="preserve"> </v>
      </c>
      <c r="M4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42" spans="3:13" x14ac:dyDescent="0.35">
      <c r="C42" s="13"/>
      <c r="D42" s="12" t="s">
        <v>129</v>
      </c>
      <c r="G42" s="14" t="str">
        <f>_xlfn.XLOOKUP(Table_Sales[[#This Row],[Product Name]],Table6[Prodcuts],Table6[Product ID]," ")</f>
        <v xml:space="preserve"> </v>
      </c>
      <c r="K4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42" s="16" t="str">
        <f>IF(AND(Table_Sales[[#This Row],[Quantity Sold]]&gt;0,_xlfn.XLOOKUP(Table_Sales[[#This Row],[Product Name]],Inventory!D:D,Inventory!F:F)&gt;0),I42*_xlfn.XLOOKUP(Table_Sales[[#This Row],[Product Name]],Inventory!D:D,Inventory!F:F)," ")</f>
        <v xml:space="preserve"> </v>
      </c>
      <c r="M4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43" spans="3:13" x14ac:dyDescent="0.35">
      <c r="C43" s="13"/>
      <c r="D43" s="12" t="s">
        <v>130</v>
      </c>
      <c r="G43" s="14" t="str">
        <f>_xlfn.XLOOKUP(Table_Sales[[#This Row],[Product Name]],Table6[Prodcuts],Table6[Product ID]," ")</f>
        <v xml:space="preserve"> </v>
      </c>
      <c r="K4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43" s="16" t="str">
        <f>IF(AND(Table_Sales[[#This Row],[Quantity Sold]]&gt;0,_xlfn.XLOOKUP(Table_Sales[[#This Row],[Product Name]],Inventory!D:D,Inventory!F:F)&gt;0),I43*_xlfn.XLOOKUP(Table_Sales[[#This Row],[Product Name]],Inventory!D:D,Inventory!F:F)," ")</f>
        <v xml:space="preserve"> </v>
      </c>
      <c r="M4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44" spans="3:13" x14ac:dyDescent="0.35">
      <c r="C44" s="13"/>
      <c r="D44" s="12" t="s">
        <v>131</v>
      </c>
      <c r="G44" s="14" t="str">
        <f>_xlfn.XLOOKUP(Table_Sales[[#This Row],[Product Name]],Table6[Prodcuts],Table6[Product ID]," ")</f>
        <v xml:space="preserve"> </v>
      </c>
      <c r="K4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44" s="16" t="str">
        <f>IF(AND(Table_Sales[[#This Row],[Quantity Sold]]&gt;0,_xlfn.XLOOKUP(Table_Sales[[#This Row],[Product Name]],Inventory!D:D,Inventory!F:F)&gt;0),I44*_xlfn.XLOOKUP(Table_Sales[[#This Row],[Product Name]],Inventory!D:D,Inventory!F:F)," ")</f>
        <v xml:space="preserve"> </v>
      </c>
      <c r="M4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45" spans="3:13" x14ac:dyDescent="0.35">
      <c r="C45" s="13"/>
      <c r="D45" s="12" t="s">
        <v>132</v>
      </c>
      <c r="G45" s="14" t="str">
        <f>_xlfn.XLOOKUP(Table_Sales[[#This Row],[Product Name]],Table6[Prodcuts],Table6[Product ID]," ")</f>
        <v xml:space="preserve"> </v>
      </c>
      <c r="K4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45" s="16" t="str">
        <f>IF(AND(Table_Sales[[#This Row],[Quantity Sold]]&gt;0,_xlfn.XLOOKUP(Table_Sales[[#This Row],[Product Name]],Inventory!D:D,Inventory!F:F)&gt;0),I45*_xlfn.XLOOKUP(Table_Sales[[#This Row],[Product Name]],Inventory!D:D,Inventory!F:F)," ")</f>
        <v xml:space="preserve"> </v>
      </c>
      <c r="M4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46" spans="3:13" x14ac:dyDescent="0.35">
      <c r="C46" s="13"/>
      <c r="D46" s="12" t="s">
        <v>133</v>
      </c>
      <c r="G46" s="14" t="str">
        <f>_xlfn.XLOOKUP(Table_Sales[[#This Row],[Product Name]],Table6[Prodcuts],Table6[Product ID]," ")</f>
        <v xml:space="preserve"> </v>
      </c>
      <c r="K4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46" s="16" t="str">
        <f>IF(AND(Table_Sales[[#This Row],[Quantity Sold]]&gt;0,_xlfn.XLOOKUP(Table_Sales[[#This Row],[Product Name]],Inventory!D:D,Inventory!F:F)&gt;0),I46*_xlfn.XLOOKUP(Table_Sales[[#This Row],[Product Name]],Inventory!D:D,Inventory!F:F)," ")</f>
        <v xml:space="preserve"> </v>
      </c>
      <c r="M4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47" spans="3:13" x14ac:dyDescent="0.35">
      <c r="C47" s="13"/>
      <c r="D47" s="12" t="s">
        <v>134</v>
      </c>
      <c r="G47" s="14" t="str">
        <f>_xlfn.XLOOKUP(Table_Sales[[#This Row],[Product Name]],Table6[Prodcuts],Table6[Product ID]," ")</f>
        <v xml:space="preserve"> </v>
      </c>
      <c r="K4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47" s="16" t="str">
        <f>IF(AND(Table_Sales[[#This Row],[Quantity Sold]]&gt;0,_xlfn.XLOOKUP(Table_Sales[[#This Row],[Product Name]],Inventory!D:D,Inventory!F:F)&gt;0),I47*_xlfn.XLOOKUP(Table_Sales[[#This Row],[Product Name]],Inventory!D:D,Inventory!F:F)," ")</f>
        <v xml:space="preserve"> </v>
      </c>
      <c r="M4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48" spans="3:13" x14ac:dyDescent="0.35">
      <c r="C48" s="13"/>
      <c r="D48" s="12" t="s">
        <v>135</v>
      </c>
      <c r="G48" s="14" t="str">
        <f>_xlfn.XLOOKUP(Table_Sales[[#This Row],[Product Name]],Table6[Prodcuts],Table6[Product ID]," ")</f>
        <v xml:space="preserve"> </v>
      </c>
      <c r="K4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48" s="16" t="str">
        <f>IF(AND(Table_Sales[[#This Row],[Quantity Sold]]&gt;0,_xlfn.XLOOKUP(Table_Sales[[#This Row],[Product Name]],Inventory!D:D,Inventory!F:F)&gt;0),I48*_xlfn.XLOOKUP(Table_Sales[[#This Row],[Product Name]],Inventory!D:D,Inventory!F:F)," ")</f>
        <v xml:space="preserve"> </v>
      </c>
      <c r="M4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49" spans="3:13" x14ac:dyDescent="0.35">
      <c r="C49" s="13"/>
      <c r="D49" s="12" t="s">
        <v>136</v>
      </c>
      <c r="G49" s="14" t="str">
        <f>_xlfn.XLOOKUP(Table_Sales[[#This Row],[Product Name]],Table6[Prodcuts],Table6[Product ID]," ")</f>
        <v xml:space="preserve"> </v>
      </c>
      <c r="K4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49" s="16" t="str">
        <f>IF(AND(Table_Sales[[#This Row],[Quantity Sold]]&gt;0,_xlfn.XLOOKUP(Table_Sales[[#This Row],[Product Name]],Inventory!D:D,Inventory!F:F)&gt;0),I49*_xlfn.XLOOKUP(Table_Sales[[#This Row],[Product Name]],Inventory!D:D,Inventory!F:F)," ")</f>
        <v xml:space="preserve"> </v>
      </c>
      <c r="M4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50" spans="3:13" x14ac:dyDescent="0.35">
      <c r="C50" s="13"/>
      <c r="D50" s="12" t="s">
        <v>137</v>
      </c>
      <c r="G50" s="14" t="str">
        <f>_xlfn.XLOOKUP(Table_Sales[[#This Row],[Product Name]],Table6[Prodcuts],Table6[Product ID]," ")</f>
        <v xml:space="preserve"> </v>
      </c>
      <c r="K5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50" s="16" t="str">
        <f>IF(AND(Table_Sales[[#This Row],[Quantity Sold]]&gt;0,_xlfn.XLOOKUP(Table_Sales[[#This Row],[Product Name]],Inventory!D:D,Inventory!F:F)&gt;0),I50*_xlfn.XLOOKUP(Table_Sales[[#This Row],[Product Name]],Inventory!D:D,Inventory!F:F)," ")</f>
        <v xml:space="preserve"> </v>
      </c>
      <c r="M5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51" spans="3:13" x14ac:dyDescent="0.35">
      <c r="C51" s="13"/>
      <c r="D51" s="12" t="s">
        <v>138</v>
      </c>
      <c r="G51" s="14" t="str">
        <f>_xlfn.XLOOKUP(Table_Sales[[#This Row],[Product Name]],Table6[Prodcuts],Table6[Product ID]," ")</f>
        <v xml:space="preserve"> </v>
      </c>
      <c r="K5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51" s="16" t="str">
        <f>IF(AND(Table_Sales[[#This Row],[Quantity Sold]]&gt;0,_xlfn.XLOOKUP(Table_Sales[[#This Row],[Product Name]],Inventory!D:D,Inventory!F:F)&gt;0),I51*_xlfn.XLOOKUP(Table_Sales[[#This Row],[Product Name]],Inventory!D:D,Inventory!F:F)," ")</f>
        <v xml:space="preserve"> </v>
      </c>
      <c r="M5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52" spans="3:13" x14ac:dyDescent="0.35">
      <c r="C52" s="13"/>
      <c r="D52" s="12" t="s">
        <v>139</v>
      </c>
      <c r="G52" s="14" t="str">
        <f>_xlfn.XLOOKUP(Table_Sales[[#This Row],[Product Name]],Table6[Prodcuts],Table6[Product ID]," ")</f>
        <v xml:space="preserve"> </v>
      </c>
      <c r="K5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52" s="16" t="str">
        <f>IF(AND(Table_Sales[[#This Row],[Quantity Sold]]&gt;0,_xlfn.XLOOKUP(Table_Sales[[#This Row],[Product Name]],Inventory!D:D,Inventory!F:F)&gt;0),I52*_xlfn.XLOOKUP(Table_Sales[[#This Row],[Product Name]],Inventory!D:D,Inventory!F:F)," ")</f>
        <v xml:space="preserve"> </v>
      </c>
      <c r="M5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53" spans="3:13" x14ac:dyDescent="0.35">
      <c r="C53" s="13"/>
      <c r="D53" s="12" t="s">
        <v>140</v>
      </c>
      <c r="G53" s="14" t="str">
        <f>_xlfn.XLOOKUP(Table_Sales[[#This Row],[Product Name]],Table6[Prodcuts],Table6[Product ID]," ")</f>
        <v xml:space="preserve"> </v>
      </c>
      <c r="K5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53" s="16" t="str">
        <f>IF(AND(Table_Sales[[#This Row],[Quantity Sold]]&gt;0,_xlfn.XLOOKUP(Table_Sales[[#This Row],[Product Name]],Inventory!D:D,Inventory!F:F)&gt;0),I53*_xlfn.XLOOKUP(Table_Sales[[#This Row],[Product Name]],Inventory!D:D,Inventory!F:F)," ")</f>
        <v xml:space="preserve"> </v>
      </c>
      <c r="M5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54" spans="3:13" x14ac:dyDescent="0.35">
      <c r="C54" s="13"/>
      <c r="D54" s="12" t="s">
        <v>141</v>
      </c>
      <c r="G54" s="14" t="str">
        <f>_xlfn.XLOOKUP(Table_Sales[[#This Row],[Product Name]],Table6[Prodcuts],Table6[Product ID]," ")</f>
        <v xml:space="preserve"> </v>
      </c>
      <c r="K5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54" s="16" t="str">
        <f>IF(AND(Table_Sales[[#This Row],[Quantity Sold]]&gt;0,_xlfn.XLOOKUP(Table_Sales[[#This Row],[Product Name]],Inventory!D:D,Inventory!F:F)&gt;0),I54*_xlfn.XLOOKUP(Table_Sales[[#This Row],[Product Name]],Inventory!D:D,Inventory!F:F)," ")</f>
        <v xml:space="preserve"> </v>
      </c>
      <c r="M5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55" spans="3:13" x14ac:dyDescent="0.35">
      <c r="C55" s="13"/>
      <c r="D55" s="12" t="s">
        <v>142</v>
      </c>
      <c r="G55" s="14" t="str">
        <f>_xlfn.XLOOKUP(Table_Sales[[#This Row],[Product Name]],Table6[Prodcuts],Table6[Product ID]," ")</f>
        <v xml:space="preserve"> </v>
      </c>
      <c r="K5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55" s="16" t="str">
        <f>IF(AND(Table_Sales[[#This Row],[Quantity Sold]]&gt;0,_xlfn.XLOOKUP(Table_Sales[[#This Row],[Product Name]],Inventory!D:D,Inventory!F:F)&gt;0),I55*_xlfn.XLOOKUP(Table_Sales[[#This Row],[Product Name]],Inventory!D:D,Inventory!F:F)," ")</f>
        <v xml:space="preserve"> </v>
      </c>
      <c r="M5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56" spans="3:13" x14ac:dyDescent="0.35">
      <c r="C56" s="13"/>
      <c r="D56" s="12" t="s">
        <v>143</v>
      </c>
      <c r="G56" s="14" t="str">
        <f>_xlfn.XLOOKUP(Table_Sales[[#This Row],[Product Name]],Table6[Prodcuts],Table6[Product ID]," ")</f>
        <v xml:space="preserve"> </v>
      </c>
      <c r="K5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56" s="16" t="str">
        <f>IF(AND(Table_Sales[[#This Row],[Quantity Sold]]&gt;0,_xlfn.XLOOKUP(Table_Sales[[#This Row],[Product Name]],Inventory!D:D,Inventory!F:F)&gt;0),I56*_xlfn.XLOOKUP(Table_Sales[[#This Row],[Product Name]],Inventory!D:D,Inventory!F:F)," ")</f>
        <v xml:space="preserve"> </v>
      </c>
      <c r="M5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57" spans="3:13" x14ac:dyDescent="0.35">
      <c r="C57" s="13"/>
      <c r="D57" s="12" t="s">
        <v>144</v>
      </c>
      <c r="G57" s="14" t="str">
        <f>_xlfn.XLOOKUP(Table_Sales[[#This Row],[Product Name]],Table6[Prodcuts],Table6[Product ID]," ")</f>
        <v xml:space="preserve"> </v>
      </c>
      <c r="K5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57" s="16" t="str">
        <f>IF(AND(Table_Sales[[#This Row],[Quantity Sold]]&gt;0,_xlfn.XLOOKUP(Table_Sales[[#This Row],[Product Name]],Inventory!D:D,Inventory!F:F)&gt;0),I57*_xlfn.XLOOKUP(Table_Sales[[#This Row],[Product Name]],Inventory!D:D,Inventory!F:F)," ")</f>
        <v xml:space="preserve"> </v>
      </c>
      <c r="M5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58" spans="3:13" x14ac:dyDescent="0.35">
      <c r="C58" s="13"/>
      <c r="D58" s="12" t="s">
        <v>145</v>
      </c>
      <c r="G58" s="14" t="str">
        <f>_xlfn.XLOOKUP(Table_Sales[[#This Row],[Product Name]],Table6[Prodcuts],Table6[Product ID]," ")</f>
        <v xml:space="preserve"> </v>
      </c>
      <c r="K5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58" s="16" t="str">
        <f>IF(AND(Table_Sales[[#This Row],[Quantity Sold]]&gt;0,_xlfn.XLOOKUP(Table_Sales[[#This Row],[Product Name]],Inventory!D:D,Inventory!F:F)&gt;0),I58*_xlfn.XLOOKUP(Table_Sales[[#This Row],[Product Name]],Inventory!D:D,Inventory!F:F)," ")</f>
        <v xml:space="preserve"> </v>
      </c>
      <c r="M5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59" spans="3:13" x14ac:dyDescent="0.35">
      <c r="C59" s="13"/>
      <c r="D59" s="12" t="s">
        <v>146</v>
      </c>
      <c r="G59" s="14" t="str">
        <f>_xlfn.XLOOKUP(Table_Sales[[#This Row],[Product Name]],Table6[Prodcuts],Table6[Product ID]," ")</f>
        <v xml:space="preserve"> </v>
      </c>
      <c r="K5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59" s="16" t="str">
        <f>IF(AND(Table_Sales[[#This Row],[Quantity Sold]]&gt;0,_xlfn.XLOOKUP(Table_Sales[[#This Row],[Product Name]],Inventory!D:D,Inventory!F:F)&gt;0),I59*_xlfn.XLOOKUP(Table_Sales[[#This Row],[Product Name]],Inventory!D:D,Inventory!F:F)," ")</f>
        <v xml:space="preserve"> </v>
      </c>
      <c r="M5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60" spans="3:13" x14ac:dyDescent="0.35">
      <c r="C60" s="13"/>
      <c r="D60" s="12" t="s">
        <v>147</v>
      </c>
      <c r="G60" s="14" t="str">
        <f>_xlfn.XLOOKUP(Table_Sales[[#This Row],[Product Name]],Table6[Prodcuts],Table6[Product ID]," ")</f>
        <v xml:space="preserve"> </v>
      </c>
      <c r="K6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60" s="16" t="str">
        <f>IF(AND(Table_Sales[[#This Row],[Quantity Sold]]&gt;0,_xlfn.XLOOKUP(Table_Sales[[#This Row],[Product Name]],Inventory!D:D,Inventory!F:F)&gt;0),I60*_xlfn.XLOOKUP(Table_Sales[[#This Row],[Product Name]],Inventory!D:D,Inventory!F:F)," ")</f>
        <v xml:space="preserve"> </v>
      </c>
      <c r="M6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61" spans="3:13" x14ac:dyDescent="0.35">
      <c r="C61" s="13"/>
      <c r="D61" s="12" t="s">
        <v>148</v>
      </c>
      <c r="G61" s="14" t="str">
        <f>_xlfn.XLOOKUP(Table_Sales[[#This Row],[Product Name]],Table6[Prodcuts],Table6[Product ID]," ")</f>
        <v xml:space="preserve"> </v>
      </c>
      <c r="K6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61" s="16" t="str">
        <f>IF(AND(Table_Sales[[#This Row],[Quantity Sold]]&gt;0,_xlfn.XLOOKUP(Table_Sales[[#This Row],[Product Name]],Inventory!D:D,Inventory!F:F)&gt;0),I61*_xlfn.XLOOKUP(Table_Sales[[#This Row],[Product Name]],Inventory!D:D,Inventory!F:F)," ")</f>
        <v xml:space="preserve"> </v>
      </c>
      <c r="M6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62" spans="3:13" x14ac:dyDescent="0.35">
      <c r="C62" s="13"/>
      <c r="D62" s="12" t="s">
        <v>149</v>
      </c>
      <c r="G62" s="14" t="str">
        <f>_xlfn.XLOOKUP(Table_Sales[[#This Row],[Product Name]],Table6[Prodcuts],Table6[Product ID]," ")</f>
        <v xml:space="preserve"> </v>
      </c>
      <c r="K6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62" s="16" t="str">
        <f>IF(AND(Table_Sales[[#This Row],[Quantity Sold]]&gt;0,_xlfn.XLOOKUP(Table_Sales[[#This Row],[Product Name]],Inventory!D:D,Inventory!F:F)&gt;0),I62*_xlfn.XLOOKUP(Table_Sales[[#This Row],[Product Name]],Inventory!D:D,Inventory!F:F)," ")</f>
        <v xml:space="preserve"> </v>
      </c>
      <c r="M6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63" spans="3:13" x14ac:dyDescent="0.35">
      <c r="C63" s="13"/>
      <c r="D63" s="12" t="s">
        <v>150</v>
      </c>
      <c r="G63" s="14" t="str">
        <f>_xlfn.XLOOKUP(Table_Sales[[#This Row],[Product Name]],Table6[Prodcuts],Table6[Product ID]," ")</f>
        <v xml:space="preserve"> </v>
      </c>
      <c r="K6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63" s="16" t="str">
        <f>IF(AND(Table_Sales[[#This Row],[Quantity Sold]]&gt;0,_xlfn.XLOOKUP(Table_Sales[[#This Row],[Product Name]],Inventory!D:D,Inventory!F:F)&gt;0),I63*_xlfn.XLOOKUP(Table_Sales[[#This Row],[Product Name]],Inventory!D:D,Inventory!F:F)," ")</f>
        <v xml:space="preserve"> </v>
      </c>
      <c r="M6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64" spans="3:13" x14ac:dyDescent="0.35">
      <c r="C64" s="13"/>
      <c r="D64" s="12" t="s">
        <v>151</v>
      </c>
      <c r="G64" s="14" t="str">
        <f>_xlfn.XLOOKUP(Table_Sales[[#This Row],[Product Name]],Table6[Prodcuts],Table6[Product ID]," ")</f>
        <v xml:space="preserve"> </v>
      </c>
      <c r="K6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64" s="16" t="str">
        <f>IF(AND(Table_Sales[[#This Row],[Quantity Sold]]&gt;0,_xlfn.XLOOKUP(Table_Sales[[#This Row],[Product Name]],Inventory!D:D,Inventory!F:F)&gt;0),I64*_xlfn.XLOOKUP(Table_Sales[[#This Row],[Product Name]],Inventory!D:D,Inventory!F:F)," ")</f>
        <v xml:space="preserve"> </v>
      </c>
      <c r="M6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65" spans="3:13" x14ac:dyDescent="0.35">
      <c r="C65" s="13"/>
      <c r="D65" s="12" t="s">
        <v>152</v>
      </c>
      <c r="G65" s="14" t="str">
        <f>_xlfn.XLOOKUP(Table_Sales[[#This Row],[Product Name]],Table6[Prodcuts],Table6[Product ID]," ")</f>
        <v xml:space="preserve"> </v>
      </c>
      <c r="K6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65" s="16" t="str">
        <f>IF(AND(Table_Sales[[#This Row],[Quantity Sold]]&gt;0,_xlfn.XLOOKUP(Table_Sales[[#This Row],[Product Name]],Inventory!D:D,Inventory!F:F)&gt;0),I65*_xlfn.XLOOKUP(Table_Sales[[#This Row],[Product Name]],Inventory!D:D,Inventory!F:F)," ")</f>
        <v xml:space="preserve"> </v>
      </c>
      <c r="M6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66" spans="3:13" x14ac:dyDescent="0.35">
      <c r="C66" s="13"/>
      <c r="D66" s="12" t="s">
        <v>153</v>
      </c>
      <c r="G66" s="14" t="str">
        <f>_xlfn.XLOOKUP(Table_Sales[[#This Row],[Product Name]],Table6[Prodcuts],Table6[Product ID]," ")</f>
        <v xml:space="preserve"> </v>
      </c>
      <c r="K6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66" s="16" t="str">
        <f>IF(AND(Table_Sales[[#This Row],[Quantity Sold]]&gt;0,_xlfn.XLOOKUP(Table_Sales[[#This Row],[Product Name]],Inventory!D:D,Inventory!F:F)&gt;0),I66*_xlfn.XLOOKUP(Table_Sales[[#This Row],[Product Name]],Inventory!D:D,Inventory!F:F)," ")</f>
        <v xml:space="preserve"> </v>
      </c>
      <c r="M6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67" spans="3:13" x14ac:dyDescent="0.35">
      <c r="C67" s="13"/>
      <c r="D67" s="12" t="s">
        <v>154</v>
      </c>
      <c r="G67" s="14" t="str">
        <f>_xlfn.XLOOKUP(Table_Sales[[#This Row],[Product Name]],Table6[Prodcuts],Table6[Product ID]," ")</f>
        <v xml:space="preserve"> </v>
      </c>
      <c r="K6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67" s="16" t="str">
        <f>IF(AND(Table_Sales[[#This Row],[Quantity Sold]]&gt;0,_xlfn.XLOOKUP(Table_Sales[[#This Row],[Product Name]],Inventory!D:D,Inventory!F:F)&gt;0),I67*_xlfn.XLOOKUP(Table_Sales[[#This Row],[Product Name]],Inventory!D:D,Inventory!F:F)," ")</f>
        <v xml:space="preserve"> </v>
      </c>
      <c r="M6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68" spans="3:13" x14ac:dyDescent="0.35">
      <c r="C68" s="13"/>
      <c r="D68" s="12" t="s">
        <v>155</v>
      </c>
      <c r="G68" s="14" t="str">
        <f>_xlfn.XLOOKUP(Table_Sales[[#This Row],[Product Name]],Table6[Prodcuts],Table6[Product ID]," ")</f>
        <v xml:space="preserve"> </v>
      </c>
      <c r="K6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68" s="16" t="str">
        <f>IF(AND(Table_Sales[[#This Row],[Quantity Sold]]&gt;0,_xlfn.XLOOKUP(Table_Sales[[#This Row],[Product Name]],Inventory!D:D,Inventory!F:F)&gt;0),I68*_xlfn.XLOOKUP(Table_Sales[[#This Row],[Product Name]],Inventory!D:D,Inventory!F:F)," ")</f>
        <v xml:space="preserve"> </v>
      </c>
      <c r="M6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69" spans="3:13" x14ac:dyDescent="0.35">
      <c r="C69" s="13"/>
      <c r="D69" s="12" t="s">
        <v>156</v>
      </c>
      <c r="G69" s="14" t="str">
        <f>_xlfn.XLOOKUP(Table_Sales[[#This Row],[Product Name]],Table6[Prodcuts],Table6[Product ID]," ")</f>
        <v xml:space="preserve"> </v>
      </c>
      <c r="K6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69" s="16" t="str">
        <f>IF(AND(Table_Sales[[#This Row],[Quantity Sold]]&gt;0,_xlfn.XLOOKUP(Table_Sales[[#This Row],[Product Name]],Inventory!D:D,Inventory!F:F)&gt;0),I69*_xlfn.XLOOKUP(Table_Sales[[#This Row],[Product Name]],Inventory!D:D,Inventory!F:F)," ")</f>
        <v xml:space="preserve"> </v>
      </c>
      <c r="M6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70" spans="3:13" x14ac:dyDescent="0.35">
      <c r="C70" s="13"/>
      <c r="D70" s="12" t="s">
        <v>157</v>
      </c>
      <c r="G70" s="14" t="str">
        <f>_xlfn.XLOOKUP(Table_Sales[[#This Row],[Product Name]],Table6[Prodcuts],Table6[Product ID]," ")</f>
        <v xml:space="preserve"> </v>
      </c>
      <c r="K7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70" s="16" t="str">
        <f>IF(AND(Table_Sales[[#This Row],[Quantity Sold]]&gt;0,_xlfn.XLOOKUP(Table_Sales[[#This Row],[Product Name]],Inventory!D:D,Inventory!F:F)&gt;0),I70*_xlfn.XLOOKUP(Table_Sales[[#This Row],[Product Name]],Inventory!D:D,Inventory!F:F)," ")</f>
        <v xml:space="preserve"> </v>
      </c>
      <c r="M7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71" spans="3:13" x14ac:dyDescent="0.35">
      <c r="C71" s="13"/>
      <c r="D71" s="12" t="s">
        <v>158</v>
      </c>
      <c r="G71" s="14" t="str">
        <f>_xlfn.XLOOKUP(Table_Sales[[#This Row],[Product Name]],Table6[Prodcuts],Table6[Product ID]," ")</f>
        <v xml:space="preserve"> </v>
      </c>
      <c r="K7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71" s="16" t="str">
        <f>IF(AND(Table_Sales[[#This Row],[Quantity Sold]]&gt;0,_xlfn.XLOOKUP(Table_Sales[[#This Row],[Product Name]],Inventory!D:D,Inventory!F:F)&gt;0),I71*_xlfn.XLOOKUP(Table_Sales[[#This Row],[Product Name]],Inventory!D:D,Inventory!F:F)," ")</f>
        <v xml:space="preserve"> </v>
      </c>
      <c r="M7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72" spans="3:13" x14ac:dyDescent="0.35">
      <c r="C72" s="13"/>
      <c r="D72" s="12" t="s">
        <v>159</v>
      </c>
      <c r="G72" s="14" t="str">
        <f>_xlfn.XLOOKUP(Table_Sales[[#This Row],[Product Name]],Table6[Prodcuts],Table6[Product ID]," ")</f>
        <v xml:space="preserve"> </v>
      </c>
      <c r="K7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72" s="16" t="str">
        <f>IF(AND(Table_Sales[[#This Row],[Quantity Sold]]&gt;0,_xlfn.XLOOKUP(Table_Sales[[#This Row],[Product Name]],Inventory!D:D,Inventory!F:F)&gt;0),I72*_xlfn.XLOOKUP(Table_Sales[[#This Row],[Product Name]],Inventory!D:D,Inventory!F:F)," ")</f>
        <v xml:space="preserve"> </v>
      </c>
      <c r="M7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73" spans="3:13" x14ac:dyDescent="0.35">
      <c r="C73" s="13"/>
      <c r="D73" s="12" t="s">
        <v>160</v>
      </c>
      <c r="G73" s="14" t="str">
        <f>_xlfn.XLOOKUP(Table_Sales[[#This Row],[Product Name]],Table6[Prodcuts],Table6[Product ID]," ")</f>
        <v xml:space="preserve"> </v>
      </c>
      <c r="K7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73" s="16" t="str">
        <f>IF(AND(Table_Sales[[#This Row],[Quantity Sold]]&gt;0,_xlfn.XLOOKUP(Table_Sales[[#This Row],[Product Name]],Inventory!D:D,Inventory!F:F)&gt;0),I73*_xlfn.XLOOKUP(Table_Sales[[#This Row],[Product Name]],Inventory!D:D,Inventory!F:F)," ")</f>
        <v xml:space="preserve"> </v>
      </c>
      <c r="M7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74" spans="3:13" x14ac:dyDescent="0.35">
      <c r="C74" s="13"/>
      <c r="D74" s="12" t="s">
        <v>161</v>
      </c>
      <c r="G74" s="14" t="str">
        <f>_xlfn.XLOOKUP(Table_Sales[[#This Row],[Product Name]],Table6[Prodcuts],Table6[Product ID]," ")</f>
        <v xml:space="preserve"> </v>
      </c>
      <c r="K7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74" s="16" t="str">
        <f>IF(AND(Table_Sales[[#This Row],[Quantity Sold]]&gt;0,_xlfn.XLOOKUP(Table_Sales[[#This Row],[Product Name]],Inventory!D:D,Inventory!F:F)&gt;0),I74*_xlfn.XLOOKUP(Table_Sales[[#This Row],[Product Name]],Inventory!D:D,Inventory!F:F)," ")</f>
        <v xml:space="preserve"> </v>
      </c>
      <c r="M7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75" spans="3:13" x14ac:dyDescent="0.35">
      <c r="C75" s="13"/>
      <c r="D75" s="12" t="s">
        <v>162</v>
      </c>
      <c r="G75" s="14" t="str">
        <f>_xlfn.XLOOKUP(Table_Sales[[#This Row],[Product Name]],Table6[Prodcuts],Table6[Product ID]," ")</f>
        <v xml:space="preserve"> </v>
      </c>
      <c r="K7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75" s="16" t="str">
        <f>IF(AND(Table_Sales[[#This Row],[Quantity Sold]]&gt;0,_xlfn.XLOOKUP(Table_Sales[[#This Row],[Product Name]],Inventory!D:D,Inventory!F:F)&gt;0),I75*_xlfn.XLOOKUP(Table_Sales[[#This Row],[Product Name]],Inventory!D:D,Inventory!F:F)," ")</f>
        <v xml:space="preserve"> </v>
      </c>
      <c r="M7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76" spans="3:13" x14ac:dyDescent="0.35">
      <c r="C76" s="13"/>
      <c r="D76" s="12" t="s">
        <v>163</v>
      </c>
      <c r="G76" s="14" t="str">
        <f>_xlfn.XLOOKUP(Table_Sales[[#This Row],[Product Name]],Table6[Prodcuts],Table6[Product ID]," ")</f>
        <v xml:space="preserve"> </v>
      </c>
      <c r="K7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76" s="16" t="str">
        <f>IF(AND(Table_Sales[[#This Row],[Quantity Sold]]&gt;0,_xlfn.XLOOKUP(Table_Sales[[#This Row],[Product Name]],Inventory!D:D,Inventory!F:F)&gt;0),I76*_xlfn.XLOOKUP(Table_Sales[[#This Row],[Product Name]],Inventory!D:D,Inventory!F:F)," ")</f>
        <v xml:space="preserve"> </v>
      </c>
      <c r="M7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77" spans="3:13" x14ac:dyDescent="0.35">
      <c r="C77" s="13"/>
      <c r="D77" s="12" t="s">
        <v>164</v>
      </c>
      <c r="G77" s="14" t="str">
        <f>_xlfn.XLOOKUP(Table_Sales[[#This Row],[Product Name]],Table6[Prodcuts],Table6[Product ID]," ")</f>
        <v xml:space="preserve"> </v>
      </c>
      <c r="K7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77" s="16" t="str">
        <f>IF(AND(Table_Sales[[#This Row],[Quantity Sold]]&gt;0,_xlfn.XLOOKUP(Table_Sales[[#This Row],[Product Name]],Inventory!D:D,Inventory!F:F)&gt;0),I77*_xlfn.XLOOKUP(Table_Sales[[#This Row],[Product Name]],Inventory!D:D,Inventory!F:F)," ")</f>
        <v xml:space="preserve"> </v>
      </c>
      <c r="M7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78" spans="3:13" x14ac:dyDescent="0.35">
      <c r="C78" s="13"/>
      <c r="D78" s="12" t="s">
        <v>165</v>
      </c>
      <c r="G78" s="14" t="str">
        <f>_xlfn.XLOOKUP(Table_Sales[[#This Row],[Product Name]],Table6[Prodcuts],Table6[Product ID]," ")</f>
        <v xml:space="preserve"> </v>
      </c>
      <c r="K7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78" s="16" t="str">
        <f>IF(AND(Table_Sales[[#This Row],[Quantity Sold]]&gt;0,_xlfn.XLOOKUP(Table_Sales[[#This Row],[Product Name]],Inventory!D:D,Inventory!F:F)&gt;0),I78*_xlfn.XLOOKUP(Table_Sales[[#This Row],[Product Name]],Inventory!D:D,Inventory!F:F)," ")</f>
        <v xml:space="preserve"> </v>
      </c>
      <c r="M7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79" spans="3:13" x14ac:dyDescent="0.35">
      <c r="C79" s="13"/>
      <c r="D79" s="12" t="s">
        <v>166</v>
      </c>
      <c r="G79" s="14" t="str">
        <f>_xlfn.XLOOKUP(Table_Sales[[#This Row],[Product Name]],Table6[Prodcuts],Table6[Product ID]," ")</f>
        <v xml:space="preserve"> </v>
      </c>
      <c r="K7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79" s="16" t="str">
        <f>IF(AND(Table_Sales[[#This Row],[Quantity Sold]]&gt;0,_xlfn.XLOOKUP(Table_Sales[[#This Row],[Product Name]],Inventory!D:D,Inventory!F:F)&gt;0),I79*_xlfn.XLOOKUP(Table_Sales[[#This Row],[Product Name]],Inventory!D:D,Inventory!F:F)," ")</f>
        <v xml:space="preserve"> </v>
      </c>
      <c r="M7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80" spans="3:13" x14ac:dyDescent="0.35">
      <c r="C80" s="13"/>
      <c r="D80" s="12" t="s">
        <v>167</v>
      </c>
      <c r="G80" s="14" t="str">
        <f>_xlfn.XLOOKUP(Table_Sales[[#This Row],[Product Name]],Table6[Prodcuts],Table6[Product ID]," ")</f>
        <v xml:space="preserve"> </v>
      </c>
      <c r="K8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80" s="16" t="str">
        <f>IF(AND(Table_Sales[[#This Row],[Quantity Sold]]&gt;0,_xlfn.XLOOKUP(Table_Sales[[#This Row],[Product Name]],Inventory!D:D,Inventory!F:F)&gt;0),I80*_xlfn.XLOOKUP(Table_Sales[[#This Row],[Product Name]],Inventory!D:D,Inventory!F:F)," ")</f>
        <v xml:space="preserve"> </v>
      </c>
      <c r="M8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81" spans="3:13" x14ac:dyDescent="0.35">
      <c r="C81" s="13"/>
      <c r="D81" s="12" t="s">
        <v>168</v>
      </c>
      <c r="G81" s="14" t="str">
        <f>_xlfn.XLOOKUP(Table_Sales[[#This Row],[Product Name]],Table6[Prodcuts],Table6[Product ID]," ")</f>
        <v xml:space="preserve"> </v>
      </c>
      <c r="K8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81" s="16" t="str">
        <f>IF(AND(Table_Sales[[#This Row],[Quantity Sold]]&gt;0,_xlfn.XLOOKUP(Table_Sales[[#This Row],[Product Name]],Inventory!D:D,Inventory!F:F)&gt;0),I81*_xlfn.XLOOKUP(Table_Sales[[#This Row],[Product Name]],Inventory!D:D,Inventory!F:F)," ")</f>
        <v xml:space="preserve"> </v>
      </c>
      <c r="M8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82" spans="3:13" x14ac:dyDescent="0.35">
      <c r="C82" s="13"/>
      <c r="D82" s="12" t="s">
        <v>169</v>
      </c>
      <c r="G82" s="14" t="str">
        <f>_xlfn.XLOOKUP(Table_Sales[[#This Row],[Product Name]],Table6[Prodcuts],Table6[Product ID]," ")</f>
        <v xml:space="preserve"> </v>
      </c>
      <c r="K8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82" s="16" t="str">
        <f>IF(AND(Table_Sales[[#This Row],[Quantity Sold]]&gt;0,_xlfn.XLOOKUP(Table_Sales[[#This Row],[Product Name]],Inventory!D:D,Inventory!F:F)&gt;0),I82*_xlfn.XLOOKUP(Table_Sales[[#This Row],[Product Name]],Inventory!D:D,Inventory!F:F)," ")</f>
        <v xml:space="preserve"> </v>
      </c>
      <c r="M8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83" spans="3:13" x14ac:dyDescent="0.35">
      <c r="C83" s="13"/>
      <c r="D83" s="12" t="s">
        <v>170</v>
      </c>
      <c r="G83" s="14" t="str">
        <f>_xlfn.XLOOKUP(Table_Sales[[#This Row],[Product Name]],Table6[Prodcuts],Table6[Product ID]," ")</f>
        <v xml:space="preserve"> </v>
      </c>
      <c r="K8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83" s="16" t="str">
        <f>IF(AND(Table_Sales[[#This Row],[Quantity Sold]]&gt;0,_xlfn.XLOOKUP(Table_Sales[[#This Row],[Product Name]],Inventory!D:D,Inventory!F:F)&gt;0),I83*_xlfn.XLOOKUP(Table_Sales[[#This Row],[Product Name]],Inventory!D:D,Inventory!F:F)," ")</f>
        <v xml:space="preserve"> </v>
      </c>
      <c r="M8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84" spans="3:13" x14ac:dyDescent="0.35">
      <c r="C84" s="13"/>
      <c r="D84" s="12" t="s">
        <v>171</v>
      </c>
      <c r="G84" s="14" t="str">
        <f>_xlfn.XLOOKUP(Table_Sales[[#This Row],[Product Name]],Table6[Prodcuts],Table6[Product ID]," ")</f>
        <v xml:space="preserve"> </v>
      </c>
      <c r="K8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84" s="16" t="str">
        <f>IF(AND(Table_Sales[[#This Row],[Quantity Sold]]&gt;0,_xlfn.XLOOKUP(Table_Sales[[#This Row],[Product Name]],Inventory!D:D,Inventory!F:F)&gt;0),I84*_xlfn.XLOOKUP(Table_Sales[[#This Row],[Product Name]],Inventory!D:D,Inventory!F:F)," ")</f>
        <v xml:space="preserve"> </v>
      </c>
      <c r="M8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85" spans="3:13" x14ac:dyDescent="0.35">
      <c r="C85" s="13"/>
      <c r="D85" s="12" t="s">
        <v>172</v>
      </c>
      <c r="G85" s="14" t="str">
        <f>_xlfn.XLOOKUP(Table_Sales[[#This Row],[Product Name]],Table6[Prodcuts],Table6[Product ID]," ")</f>
        <v xml:space="preserve"> </v>
      </c>
      <c r="K8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85" s="16" t="str">
        <f>IF(AND(Table_Sales[[#This Row],[Quantity Sold]]&gt;0,_xlfn.XLOOKUP(Table_Sales[[#This Row],[Product Name]],Inventory!D:D,Inventory!F:F)&gt;0),I85*_xlfn.XLOOKUP(Table_Sales[[#This Row],[Product Name]],Inventory!D:D,Inventory!F:F)," ")</f>
        <v xml:space="preserve"> </v>
      </c>
      <c r="M8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86" spans="3:13" x14ac:dyDescent="0.35">
      <c r="C86" s="13"/>
      <c r="D86" s="12" t="s">
        <v>173</v>
      </c>
      <c r="G86" s="14" t="str">
        <f>_xlfn.XLOOKUP(Table_Sales[[#This Row],[Product Name]],Table6[Prodcuts],Table6[Product ID]," ")</f>
        <v xml:space="preserve"> </v>
      </c>
      <c r="K8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86" s="16" t="str">
        <f>IF(AND(Table_Sales[[#This Row],[Quantity Sold]]&gt;0,_xlfn.XLOOKUP(Table_Sales[[#This Row],[Product Name]],Inventory!D:D,Inventory!F:F)&gt;0),I86*_xlfn.XLOOKUP(Table_Sales[[#This Row],[Product Name]],Inventory!D:D,Inventory!F:F)," ")</f>
        <v xml:space="preserve"> </v>
      </c>
      <c r="M8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87" spans="3:13" x14ac:dyDescent="0.35">
      <c r="C87" s="13"/>
      <c r="D87" s="12" t="s">
        <v>174</v>
      </c>
      <c r="G87" s="14" t="str">
        <f>_xlfn.XLOOKUP(Table_Sales[[#This Row],[Product Name]],Table6[Prodcuts],Table6[Product ID]," ")</f>
        <v xml:space="preserve"> </v>
      </c>
      <c r="K8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87" s="16" t="str">
        <f>IF(AND(Table_Sales[[#This Row],[Quantity Sold]]&gt;0,_xlfn.XLOOKUP(Table_Sales[[#This Row],[Product Name]],Inventory!D:D,Inventory!F:F)&gt;0),I87*_xlfn.XLOOKUP(Table_Sales[[#This Row],[Product Name]],Inventory!D:D,Inventory!F:F)," ")</f>
        <v xml:space="preserve"> </v>
      </c>
      <c r="M8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88" spans="3:13" x14ac:dyDescent="0.35">
      <c r="C88" s="13"/>
      <c r="D88" s="12" t="s">
        <v>175</v>
      </c>
      <c r="G88" s="14" t="str">
        <f>_xlfn.XLOOKUP(Table_Sales[[#This Row],[Product Name]],Table6[Prodcuts],Table6[Product ID]," ")</f>
        <v xml:space="preserve"> </v>
      </c>
      <c r="K8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88" s="16" t="str">
        <f>IF(AND(Table_Sales[[#This Row],[Quantity Sold]]&gt;0,_xlfn.XLOOKUP(Table_Sales[[#This Row],[Product Name]],Inventory!D:D,Inventory!F:F)&gt;0),I88*_xlfn.XLOOKUP(Table_Sales[[#This Row],[Product Name]],Inventory!D:D,Inventory!F:F)," ")</f>
        <v xml:space="preserve"> </v>
      </c>
      <c r="M8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89" spans="3:13" x14ac:dyDescent="0.35">
      <c r="C89" s="13"/>
      <c r="D89" s="12" t="s">
        <v>176</v>
      </c>
      <c r="G89" s="14" t="str">
        <f>_xlfn.XLOOKUP(Table_Sales[[#This Row],[Product Name]],Table6[Prodcuts],Table6[Product ID]," ")</f>
        <v xml:space="preserve"> </v>
      </c>
      <c r="K8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89" s="16" t="str">
        <f>IF(AND(Table_Sales[[#This Row],[Quantity Sold]]&gt;0,_xlfn.XLOOKUP(Table_Sales[[#This Row],[Product Name]],Inventory!D:D,Inventory!F:F)&gt;0),I89*_xlfn.XLOOKUP(Table_Sales[[#This Row],[Product Name]],Inventory!D:D,Inventory!F:F)," ")</f>
        <v xml:space="preserve"> </v>
      </c>
      <c r="M8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90" spans="3:13" x14ac:dyDescent="0.35">
      <c r="C90" s="13"/>
      <c r="D90" s="12" t="s">
        <v>177</v>
      </c>
      <c r="G90" s="14" t="str">
        <f>_xlfn.XLOOKUP(Table_Sales[[#This Row],[Product Name]],Table6[Prodcuts],Table6[Product ID]," ")</f>
        <v xml:space="preserve"> </v>
      </c>
      <c r="K9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90" s="16" t="str">
        <f>IF(AND(Table_Sales[[#This Row],[Quantity Sold]]&gt;0,_xlfn.XLOOKUP(Table_Sales[[#This Row],[Product Name]],Inventory!D:D,Inventory!F:F)&gt;0),I90*_xlfn.XLOOKUP(Table_Sales[[#This Row],[Product Name]],Inventory!D:D,Inventory!F:F)," ")</f>
        <v xml:space="preserve"> </v>
      </c>
      <c r="M9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91" spans="3:13" x14ac:dyDescent="0.35">
      <c r="C91" s="13"/>
      <c r="D91" s="12" t="s">
        <v>178</v>
      </c>
      <c r="G91" s="14" t="str">
        <f>_xlfn.XLOOKUP(Table_Sales[[#This Row],[Product Name]],Table6[Prodcuts],Table6[Product ID]," ")</f>
        <v xml:space="preserve"> </v>
      </c>
      <c r="K9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91" s="16" t="str">
        <f>IF(AND(Table_Sales[[#This Row],[Quantity Sold]]&gt;0,_xlfn.XLOOKUP(Table_Sales[[#This Row],[Product Name]],Inventory!D:D,Inventory!F:F)&gt;0),I91*_xlfn.XLOOKUP(Table_Sales[[#This Row],[Product Name]],Inventory!D:D,Inventory!F:F)," ")</f>
        <v xml:space="preserve"> </v>
      </c>
      <c r="M9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92" spans="3:13" x14ac:dyDescent="0.35">
      <c r="C92" s="13"/>
      <c r="D92" s="12" t="s">
        <v>179</v>
      </c>
      <c r="G92" s="14" t="str">
        <f>_xlfn.XLOOKUP(Table_Sales[[#This Row],[Product Name]],Table6[Prodcuts],Table6[Product ID]," ")</f>
        <v xml:space="preserve"> </v>
      </c>
      <c r="K9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92" s="16" t="str">
        <f>IF(AND(Table_Sales[[#This Row],[Quantity Sold]]&gt;0,_xlfn.XLOOKUP(Table_Sales[[#This Row],[Product Name]],Inventory!D:D,Inventory!F:F)&gt;0),I92*_xlfn.XLOOKUP(Table_Sales[[#This Row],[Product Name]],Inventory!D:D,Inventory!F:F)," ")</f>
        <v xml:space="preserve"> </v>
      </c>
      <c r="M9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93" spans="3:13" x14ac:dyDescent="0.35">
      <c r="C93" s="13"/>
      <c r="D93" s="12" t="s">
        <v>180</v>
      </c>
      <c r="G93" s="14" t="str">
        <f>_xlfn.XLOOKUP(Table_Sales[[#This Row],[Product Name]],Table6[Prodcuts],Table6[Product ID]," ")</f>
        <v xml:space="preserve"> </v>
      </c>
      <c r="K9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93" s="16" t="str">
        <f>IF(AND(Table_Sales[[#This Row],[Quantity Sold]]&gt;0,_xlfn.XLOOKUP(Table_Sales[[#This Row],[Product Name]],Inventory!D:D,Inventory!F:F)&gt;0),I93*_xlfn.XLOOKUP(Table_Sales[[#This Row],[Product Name]],Inventory!D:D,Inventory!F:F)," ")</f>
        <v xml:space="preserve"> </v>
      </c>
      <c r="M9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94" spans="3:13" x14ac:dyDescent="0.35">
      <c r="C94" s="13"/>
      <c r="D94" s="12" t="s">
        <v>181</v>
      </c>
      <c r="G94" s="14" t="str">
        <f>_xlfn.XLOOKUP(Table_Sales[[#This Row],[Product Name]],Table6[Prodcuts],Table6[Product ID]," ")</f>
        <v xml:space="preserve"> </v>
      </c>
      <c r="K9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94" s="16" t="str">
        <f>IF(AND(Table_Sales[[#This Row],[Quantity Sold]]&gt;0,_xlfn.XLOOKUP(Table_Sales[[#This Row],[Product Name]],Inventory!D:D,Inventory!F:F)&gt;0),I94*_xlfn.XLOOKUP(Table_Sales[[#This Row],[Product Name]],Inventory!D:D,Inventory!F:F)," ")</f>
        <v xml:space="preserve"> </v>
      </c>
      <c r="M9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95" spans="3:13" x14ac:dyDescent="0.35">
      <c r="C95" s="13"/>
      <c r="D95" s="12" t="s">
        <v>182</v>
      </c>
      <c r="G95" s="14" t="str">
        <f>_xlfn.XLOOKUP(Table_Sales[[#This Row],[Product Name]],Table6[Prodcuts],Table6[Product ID]," ")</f>
        <v xml:space="preserve"> </v>
      </c>
      <c r="K9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95" s="16" t="str">
        <f>IF(AND(Table_Sales[[#This Row],[Quantity Sold]]&gt;0,_xlfn.XLOOKUP(Table_Sales[[#This Row],[Product Name]],Inventory!D:D,Inventory!F:F)&gt;0),I95*_xlfn.XLOOKUP(Table_Sales[[#This Row],[Product Name]],Inventory!D:D,Inventory!F:F)," ")</f>
        <v xml:space="preserve"> </v>
      </c>
      <c r="M9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96" spans="3:13" x14ac:dyDescent="0.35">
      <c r="C96" s="13"/>
      <c r="D96" s="12" t="s">
        <v>183</v>
      </c>
      <c r="G96" s="14" t="str">
        <f>_xlfn.XLOOKUP(Table_Sales[[#This Row],[Product Name]],Table6[Prodcuts],Table6[Product ID]," ")</f>
        <v xml:space="preserve"> </v>
      </c>
      <c r="K9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96" s="16" t="str">
        <f>IF(AND(Table_Sales[[#This Row],[Quantity Sold]]&gt;0,_xlfn.XLOOKUP(Table_Sales[[#This Row],[Product Name]],Inventory!D:D,Inventory!F:F)&gt;0),I96*_xlfn.XLOOKUP(Table_Sales[[#This Row],[Product Name]],Inventory!D:D,Inventory!F:F)," ")</f>
        <v xml:space="preserve"> </v>
      </c>
      <c r="M9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97" spans="3:13" x14ac:dyDescent="0.35">
      <c r="C97" s="13"/>
      <c r="D97" s="12" t="s">
        <v>184</v>
      </c>
      <c r="G97" s="14" t="str">
        <f>_xlfn.XLOOKUP(Table_Sales[[#This Row],[Product Name]],Table6[Prodcuts],Table6[Product ID]," ")</f>
        <v xml:space="preserve"> </v>
      </c>
      <c r="K9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97" s="16" t="str">
        <f>IF(AND(Table_Sales[[#This Row],[Quantity Sold]]&gt;0,_xlfn.XLOOKUP(Table_Sales[[#This Row],[Product Name]],Inventory!D:D,Inventory!F:F)&gt;0),I97*_xlfn.XLOOKUP(Table_Sales[[#This Row],[Product Name]],Inventory!D:D,Inventory!F:F)," ")</f>
        <v xml:space="preserve"> </v>
      </c>
      <c r="M9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98" spans="3:13" x14ac:dyDescent="0.35">
      <c r="C98" s="13"/>
      <c r="D98" s="12" t="s">
        <v>185</v>
      </c>
      <c r="G98" s="14" t="str">
        <f>_xlfn.XLOOKUP(Table_Sales[[#This Row],[Product Name]],Table6[Prodcuts],Table6[Product ID]," ")</f>
        <v xml:space="preserve"> </v>
      </c>
      <c r="K9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98" s="16" t="str">
        <f>IF(AND(Table_Sales[[#This Row],[Quantity Sold]]&gt;0,_xlfn.XLOOKUP(Table_Sales[[#This Row],[Product Name]],Inventory!D:D,Inventory!F:F)&gt;0),I98*_xlfn.XLOOKUP(Table_Sales[[#This Row],[Product Name]],Inventory!D:D,Inventory!F:F)," ")</f>
        <v xml:space="preserve"> </v>
      </c>
      <c r="M9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99" spans="3:13" x14ac:dyDescent="0.35">
      <c r="C99" s="13"/>
      <c r="D99" s="12" t="s">
        <v>186</v>
      </c>
      <c r="G99" s="14" t="str">
        <f>_xlfn.XLOOKUP(Table_Sales[[#This Row],[Product Name]],Table6[Prodcuts],Table6[Product ID]," ")</f>
        <v xml:space="preserve"> </v>
      </c>
      <c r="K9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99" s="16" t="str">
        <f>IF(AND(Table_Sales[[#This Row],[Quantity Sold]]&gt;0,_xlfn.XLOOKUP(Table_Sales[[#This Row],[Product Name]],Inventory!D:D,Inventory!F:F)&gt;0),I99*_xlfn.XLOOKUP(Table_Sales[[#This Row],[Product Name]],Inventory!D:D,Inventory!F:F)," ")</f>
        <v xml:space="preserve"> </v>
      </c>
      <c r="M9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00" spans="3:13" x14ac:dyDescent="0.35">
      <c r="C100" s="13"/>
      <c r="D100" s="12" t="s">
        <v>187</v>
      </c>
      <c r="G100" s="14" t="str">
        <f>_xlfn.XLOOKUP(Table_Sales[[#This Row],[Product Name]],Table6[Prodcuts],Table6[Product ID]," ")</f>
        <v xml:space="preserve"> </v>
      </c>
      <c r="K10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00" s="16" t="str">
        <f>IF(AND(Table_Sales[[#This Row],[Quantity Sold]]&gt;0,_xlfn.XLOOKUP(Table_Sales[[#This Row],[Product Name]],Inventory!D:D,Inventory!F:F)&gt;0),I100*_xlfn.XLOOKUP(Table_Sales[[#This Row],[Product Name]],Inventory!D:D,Inventory!F:F)," ")</f>
        <v xml:space="preserve"> </v>
      </c>
      <c r="M10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01" spans="3:13" x14ac:dyDescent="0.35">
      <c r="C101" s="13"/>
      <c r="D101" s="12" t="s">
        <v>188</v>
      </c>
      <c r="G101" s="14" t="str">
        <f>_xlfn.XLOOKUP(Table_Sales[[#This Row],[Product Name]],Table6[Prodcuts],Table6[Product ID]," ")</f>
        <v xml:space="preserve"> </v>
      </c>
      <c r="K10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01" s="16" t="str">
        <f>IF(AND(Table_Sales[[#This Row],[Quantity Sold]]&gt;0,_xlfn.XLOOKUP(Table_Sales[[#This Row],[Product Name]],Inventory!D:D,Inventory!F:F)&gt;0),I101*_xlfn.XLOOKUP(Table_Sales[[#This Row],[Product Name]],Inventory!D:D,Inventory!F:F)," ")</f>
        <v xml:space="preserve"> </v>
      </c>
      <c r="M10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02" spans="3:13" x14ac:dyDescent="0.35">
      <c r="C102" s="13"/>
      <c r="D102" s="12" t="s">
        <v>189</v>
      </c>
      <c r="G102" s="14" t="str">
        <f>_xlfn.XLOOKUP(Table_Sales[[#This Row],[Product Name]],Table6[Prodcuts],Table6[Product ID]," ")</f>
        <v xml:space="preserve"> </v>
      </c>
      <c r="K10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02" s="16" t="str">
        <f>IF(AND(Table_Sales[[#This Row],[Quantity Sold]]&gt;0,_xlfn.XLOOKUP(Table_Sales[[#This Row],[Product Name]],Inventory!D:D,Inventory!F:F)&gt;0),I102*_xlfn.XLOOKUP(Table_Sales[[#This Row],[Product Name]],Inventory!D:D,Inventory!F:F)," ")</f>
        <v xml:space="preserve"> </v>
      </c>
      <c r="M10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03" spans="3:13" x14ac:dyDescent="0.35">
      <c r="C103" s="13"/>
      <c r="D103" s="12" t="s">
        <v>190</v>
      </c>
      <c r="G103" s="14" t="str">
        <f>_xlfn.XLOOKUP(Table_Sales[[#This Row],[Product Name]],Table6[Prodcuts],Table6[Product ID]," ")</f>
        <v xml:space="preserve"> </v>
      </c>
      <c r="K10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03" s="16" t="str">
        <f>IF(AND(Table_Sales[[#This Row],[Quantity Sold]]&gt;0,_xlfn.XLOOKUP(Table_Sales[[#This Row],[Product Name]],Inventory!D:D,Inventory!F:F)&gt;0),I103*_xlfn.XLOOKUP(Table_Sales[[#This Row],[Product Name]],Inventory!D:D,Inventory!F:F)," ")</f>
        <v xml:space="preserve"> </v>
      </c>
      <c r="M10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04" spans="3:13" x14ac:dyDescent="0.35">
      <c r="C104" s="13"/>
      <c r="D104" s="12" t="s">
        <v>191</v>
      </c>
      <c r="G104" s="14" t="str">
        <f>_xlfn.XLOOKUP(Table_Sales[[#This Row],[Product Name]],Table6[Prodcuts],Table6[Product ID]," ")</f>
        <v xml:space="preserve"> </v>
      </c>
      <c r="K10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04" s="16" t="str">
        <f>IF(AND(Table_Sales[[#This Row],[Quantity Sold]]&gt;0,_xlfn.XLOOKUP(Table_Sales[[#This Row],[Product Name]],Inventory!D:D,Inventory!F:F)&gt;0),I104*_xlfn.XLOOKUP(Table_Sales[[#This Row],[Product Name]],Inventory!D:D,Inventory!F:F)," ")</f>
        <v xml:space="preserve"> </v>
      </c>
      <c r="M10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05" spans="3:13" x14ac:dyDescent="0.35">
      <c r="C105" s="13"/>
      <c r="D105" s="12" t="s">
        <v>192</v>
      </c>
      <c r="G105" s="14" t="str">
        <f>_xlfn.XLOOKUP(Table_Sales[[#This Row],[Product Name]],Table6[Prodcuts],Table6[Product ID]," ")</f>
        <v xml:space="preserve"> </v>
      </c>
      <c r="K10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05" s="16" t="str">
        <f>IF(AND(Table_Sales[[#This Row],[Quantity Sold]]&gt;0,_xlfn.XLOOKUP(Table_Sales[[#This Row],[Product Name]],Inventory!D:D,Inventory!F:F)&gt;0),I105*_xlfn.XLOOKUP(Table_Sales[[#This Row],[Product Name]],Inventory!D:D,Inventory!F:F)," ")</f>
        <v xml:space="preserve"> </v>
      </c>
      <c r="M10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06" spans="3:13" x14ac:dyDescent="0.35">
      <c r="C106" s="13"/>
      <c r="D106" s="12" t="s">
        <v>193</v>
      </c>
      <c r="G106" s="14" t="str">
        <f>_xlfn.XLOOKUP(Table_Sales[[#This Row],[Product Name]],Table6[Prodcuts],Table6[Product ID]," ")</f>
        <v xml:space="preserve"> </v>
      </c>
      <c r="K10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06" s="16" t="str">
        <f>IF(AND(Table_Sales[[#This Row],[Quantity Sold]]&gt;0,_xlfn.XLOOKUP(Table_Sales[[#This Row],[Product Name]],Inventory!D:D,Inventory!F:F)&gt;0),I106*_xlfn.XLOOKUP(Table_Sales[[#This Row],[Product Name]],Inventory!D:D,Inventory!F:F)," ")</f>
        <v xml:space="preserve"> </v>
      </c>
      <c r="M10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07" spans="3:13" x14ac:dyDescent="0.35">
      <c r="C107" s="13"/>
      <c r="D107" s="12" t="s">
        <v>194</v>
      </c>
      <c r="G107" s="14" t="str">
        <f>_xlfn.XLOOKUP(Table_Sales[[#This Row],[Product Name]],Table6[Prodcuts],Table6[Product ID]," ")</f>
        <v xml:space="preserve"> </v>
      </c>
      <c r="K10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07" s="16" t="str">
        <f>IF(AND(Table_Sales[[#This Row],[Quantity Sold]]&gt;0,_xlfn.XLOOKUP(Table_Sales[[#This Row],[Product Name]],Inventory!D:D,Inventory!F:F)&gt;0),I107*_xlfn.XLOOKUP(Table_Sales[[#This Row],[Product Name]],Inventory!D:D,Inventory!F:F)," ")</f>
        <v xml:space="preserve"> </v>
      </c>
      <c r="M10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08" spans="3:13" x14ac:dyDescent="0.35">
      <c r="C108" s="13"/>
      <c r="D108" s="12" t="s">
        <v>195</v>
      </c>
      <c r="G108" s="14" t="str">
        <f>_xlfn.XLOOKUP(Table_Sales[[#This Row],[Product Name]],Table6[Prodcuts],Table6[Product ID]," ")</f>
        <v xml:space="preserve"> </v>
      </c>
      <c r="K10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08" s="16" t="str">
        <f>IF(AND(Table_Sales[[#This Row],[Quantity Sold]]&gt;0,_xlfn.XLOOKUP(Table_Sales[[#This Row],[Product Name]],Inventory!D:D,Inventory!F:F)&gt;0),I108*_xlfn.XLOOKUP(Table_Sales[[#This Row],[Product Name]],Inventory!D:D,Inventory!F:F)," ")</f>
        <v xml:space="preserve"> </v>
      </c>
      <c r="M10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09" spans="3:13" x14ac:dyDescent="0.35">
      <c r="C109" s="13"/>
      <c r="D109" s="12" t="s">
        <v>196</v>
      </c>
      <c r="G109" s="14" t="str">
        <f>_xlfn.XLOOKUP(Table_Sales[[#This Row],[Product Name]],Table6[Prodcuts],Table6[Product ID]," ")</f>
        <v xml:space="preserve"> </v>
      </c>
      <c r="K10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09" s="16" t="str">
        <f>IF(AND(Table_Sales[[#This Row],[Quantity Sold]]&gt;0,_xlfn.XLOOKUP(Table_Sales[[#This Row],[Product Name]],Inventory!D:D,Inventory!F:F)&gt;0),I109*_xlfn.XLOOKUP(Table_Sales[[#This Row],[Product Name]],Inventory!D:D,Inventory!F:F)," ")</f>
        <v xml:space="preserve"> </v>
      </c>
      <c r="M10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10" spans="3:13" x14ac:dyDescent="0.35">
      <c r="C110" s="13"/>
      <c r="D110" s="12" t="s">
        <v>197</v>
      </c>
      <c r="G110" s="14" t="str">
        <f>_xlfn.XLOOKUP(Table_Sales[[#This Row],[Product Name]],Table6[Prodcuts],Table6[Product ID]," ")</f>
        <v xml:space="preserve"> </v>
      </c>
      <c r="K11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10" s="16" t="str">
        <f>IF(AND(Table_Sales[[#This Row],[Quantity Sold]]&gt;0,_xlfn.XLOOKUP(Table_Sales[[#This Row],[Product Name]],Inventory!D:D,Inventory!F:F)&gt;0),I110*_xlfn.XLOOKUP(Table_Sales[[#This Row],[Product Name]],Inventory!D:D,Inventory!F:F)," ")</f>
        <v xml:space="preserve"> </v>
      </c>
      <c r="M11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11" spans="3:13" x14ac:dyDescent="0.35">
      <c r="C111" s="13"/>
      <c r="D111" s="12" t="s">
        <v>198</v>
      </c>
      <c r="G111" s="14" t="str">
        <f>_xlfn.XLOOKUP(Table_Sales[[#This Row],[Product Name]],Table6[Prodcuts],Table6[Product ID]," ")</f>
        <v xml:space="preserve"> </v>
      </c>
      <c r="K11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11" s="16" t="str">
        <f>IF(AND(Table_Sales[[#This Row],[Quantity Sold]]&gt;0,_xlfn.XLOOKUP(Table_Sales[[#This Row],[Product Name]],Inventory!D:D,Inventory!F:F)&gt;0),I111*_xlfn.XLOOKUP(Table_Sales[[#This Row],[Product Name]],Inventory!D:D,Inventory!F:F)," ")</f>
        <v xml:space="preserve"> </v>
      </c>
      <c r="M11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12" spans="3:13" x14ac:dyDescent="0.35">
      <c r="C112" s="13"/>
      <c r="D112" s="12" t="s">
        <v>199</v>
      </c>
      <c r="G112" s="14" t="str">
        <f>_xlfn.XLOOKUP(Table_Sales[[#This Row],[Product Name]],Table6[Prodcuts],Table6[Product ID]," ")</f>
        <v xml:space="preserve"> </v>
      </c>
      <c r="K11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12" s="16" t="str">
        <f>IF(AND(Table_Sales[[#This Row],[Quantity Sold]]&gt;0,_xlfn.XLOOKUP(Table_Sales[[#This Row],[Product Name]],Inventory!D:D,Inventory!F:F)&gt;0),I112*_xlfn.XLOOKUP(Table_Sales[[#This Row],[Product Name]],Inventory!D:D,Inventory!F:F)," ")</f>
        <v xml:space="preserve"> </v>
      </c>
      <c r="M11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13" spans="3:13" x14ac:dyDescent="0.35">
      <c r="C113" s="13"/>
      <c r="D113" s="12" t="s">
        <v>200</v>
      </c>
      <c r="G113" s="14" t="str">
        <f>_xlfn.XLOOKUP(Table_Sales[[#This Row],[Product Name]],Table6[Prodcuts],Table6[Product ID]," ")</f>
        <v xml:space="preserve"> </v>
      </c>
      <c r="K11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13" s="16" t="str">
        <f>IF(AND(Table_Sales[[#This Row],[Quantity Sold]]&gt;0,_xlfn.XLOOKUP(Table_Sales[[#This Row],[Product Name]],Inventory!D:D,Inventory!F:F)&gt;0),I113*_xlfn.XLOOKUP(Table_Sales[[#This Row],[Product Name]],Inventory!D:D,Inventory!F:F)," ")</f>
        <v xml:space="preserve"> </v>
      </c>
      <c r="M11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14" spans="3:13" x14ac:dyDescent="0.35">
      <c r="C114" s="13"/>
      <c r="D114" s="12" t="s">
        <v>201</v>
      </c>
      <c r="G114" s="14" t="str">
        <f>_xlfn.XLOOKUP(Table_Sales[[#This Row],[Product Name]],Table6[Prodcuts],Table6[Product ID]," ")</f>
        <v xml:space="preserve"> </v>
      </c>
      <c r="K11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14" s="16" t="str">
        <f>IF(AND(Table_Sales[[#This Row],[Quantity Sold]]&gt;0,_xlfn.XLOOKUP(Table_Sales[[#This Row],[Product Name]],Inventory!D:D,Inventory!F:F)&gt;0),I114*_xlfn.XLOOKUP(Table_Sales[[#This Row],[Product Name]],Inventory!D:D,Inventory!F:F)," ")</f>
        <v xml:space="preserve"> </v>
      </c>
      <c r="M11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15" spans="3:13" x14ac:dyDescent="0.35">
      <c r="C115" s="13"/>
      <c r="D115" s="12" t="s">
        <v>202</v>
      </c>
      <c r="G115" s="14" t="str">
        <f>_xlfn.XLOOKUP(Table_Sales[[#This Row],[Product Name]],Table6[Prodcuts],Table6[Product ID]," ")</f>
        <v xml:space="preserve"> </v>
      </c>
      <c r="K11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15" s="16" t="str">
        <f>IF(AND(Table_Sales[[#This Row],[Quantity Sold]]&gt;0,_xlfn.XLOOKUP(Table_Sales[[#This Row],[Product Name]],Inventory!D:D,Inventory!F:F)&gt;0),I115*_xlfn.XLOOKUP(Table_Sales[[#This Row],[Product Name]],Inventory!D:D,Inventory!F:F)," ")</f>
        <v xml:space="preserve"> </v>
      </c>
      <c r="M11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16" spans="3:13" x14ac:dyDescent="0.35">
      <c r="C116" s="13"/>
      <c r="D116" s="12" t="s">
        <v>203</v>
      </c>
      <c r="G116" s="14" t="str">
        <f>_xlfn.XLOOKUP(Table_Sales[[#This Row],[Product Name]],Table6[Prodcuts],Table6[Product ID]," ")</f>
        <v xml:space="preserve"> </v>
      </c>
      <c r="K11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16" s="16" t="str">
        <f>IF(AND(Table_Sales[[#This Row],[Quantity Sold]]&gt;0,_xlfn.XLOOKUP(Table_Sales[[#This Row],[Product Name]],Inventory!D:D,Inventory!F:F)&gt;0),I116*_xlfn.XLOOKUP(Table_Sales[[#This Row],[Product Name]],Inventory!D:D,Inventory!F:F)," ")</f>
        <v xml:space="preserve"> </v>
      </c>
      <c r="M11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17" spans="3:13" x14ac:dyDescent="0.35">
      <c r="C117" s="13"/>
      <c r="D117" s="12" t="s">
        <v>204</v>
      </c>
      <c r="G117" s="14" t="str">
        <f>_xlfn.XLOOKUP(Table_Sales[[#This Row],[Product Name]],Table6[Prodcuts],Table6[Product ID]," ")</f>
        <v xml:space="preserve"> </v>
      </c>
      <c r="K11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17" s="16" t="str">
        <f>IF(AND(Table_Sales[[#This Row],[Quantity Sold]]&gt;0,_xlfn.XLOOKUP(Table_Sales[[#This Row],[Product Name]],Inventory!D:D,Inventory!F:F)&gt;0),I117*_xlfn.XLOOKUP(Table_Sales[[#This Row],[Product Name]],Inventory!D:D,Inventory!F:F)," ")</f>
        <v xml:space="preserve"> </v>
      </c>
      <c r="M11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18" spans="3:13" x14ac:dyDescent="0.35">
      <c r="C118" s="13"/>
      <c r="D118" s="12" t="s">
        <v>205</v>
      </c>
      <c r="G118" s="14" t="str">
        <f>_xlfn.XLOOKUP(Table_Sales[[#This Row],[Product Name]],Table6[Prodcuts],Table6[Product ID]," ")</f>
        <v xml:space="preserve"> </v>
      </c>
      <c r="K11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18" s="16" t="str">
        <f>IF(AND(Table_Sales[[#This Row],[Quantity Sold]]&gt;0,_xlfn.XLOOKUP(Table_Sales[[#This Row],[Product Name]],Inventory!D:D,Inventory!F:F)&gt;0),I118*_xlfn.XLOOKUP(Table_Sales[[#This Row],[Product Name]],Inventory!D:D,Inventory!F:F)," ")</f>
        <v xml:space="preserve"> </v>
      </c>
      <c r="M11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19" spans="3:13" x14ac:dyDescent="0.35">
      <c r="C119" s="13"/>
      <c r="D119" s="12" t="s">
        <v>206</v>
      </c>
      <c r="G119" s="14" t="str">
        <f>_xlfn.XLOOKUP(Table_Sales[[#This Row],[Product Name]],Table6[Prodcuts],Table6[Product ID]," ")</f>
        <v xml:space="preserve"> </v>
      </c>
      <c r="K11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19" s="16" t="str">
        <f>IF(AND(Table_Sales[[#This Row],[Quantity Sold]]&gt;0,_xlfn.XLOOKUP(Table_Sales[[#This Row],[Product Name]],Inventory!D:D,Inventory!F:F)&gt;0),I119*_xlfn.XLOOKUP(Table_Sales[[#This Row],[Product Name]],Inventory!D:D,Inventory!F:F)," ")</f>
        <v xml:space="preserve"> </v>
      </c>
      <c r="M11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20" spans="3:13" x14ac:dyDescent="0.35">
      <c r="C120" s="13"/>
      <c r="D120" s="12" t="s">
        <v>207</v>
      </c>
      <c r="G120" s="14" t="str">
        <f>_xlfn.XLOOKUP(Table_Sales[[#This Row],[Product Name]],Table6[Prodcuts],Table6[Product ID]," ")</f>
        <v xml:space="preserve"> </v>
      </c>
      <c r="K12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20" s="16" t="str">
        <f>IF(AND(Table_Sales[[#This Row],[Quantity Sold]]&gt;0,_xlfn.XLOOKUP(Table_Sales[[#This Row],[Product Name]],Inventory!D:D,Inventory!F:F)&gt;0),I120*_xlfn.XLOOKUP(Table_Sales[[#This Row],[Product Name]],Inventory!D:D,Inventory!F:F)," ")</f>
        <v xml:space="preserve"> </v>
      </c>
      <c r="M12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21" spans="3:13" x14ac:dyDescent="0.35">
      <c r="C121" s="13"/>
      <c r="D121" s="12" t="s">
        <v>208</v>
      </c>
      <c r="G121" s="14" t="str">
        <f>_xlfn.XLOOKUP(Table_Sales[[#This Row],[Product Name]],Table6[Prodcuts],Table6[Product ID]," ")</f>
        <v xml:space="preserve"> </v>
      </c>
      <c r="K12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21" s="16" t="str">
        <f>IF(AND(Table_Sales[[#This Row],[Quantity Sold]]&gt;0,_xlfn.XLOOKUP(Table_Sales[[#This Row],[Product Name]],Inventory!D:D,Inventory!F:F)&gt;0),I121*_xlfn.XLOOKUP(Table_Sales[[#This Row],[Product Name]],Inventory!D:D,Inventory!F:F)," ")</f>
        <v xml:space="preserve"> </v>
      </c>
      <c r="M12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22" spans="3:13" x14ac:dyDescent="0.35">
      <c r="C122" s="13"/>
      <c r="D122" s="12" t="s">
        <v>209</v>
      </c>
      <c r="G122" s="14" t="str">
        <f>_xlfn.XLOOKUP(Table_Sales[[#This Row],[Product Name]],Table6[Prodcuts],Table6[Product ID]," ")</f>
        <v xml:space="preserve"> </v>
      </c>
      <c r="K12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22" s="16" t="str">
        <f>IF(AND(Table_Sales[[#This Row],[Quantity Sold]]&gt;0,_xlfn.XLOOKUP(Table_Sales[[#This Row],[Product Name]],Inventory!D:D,Inventory!F:F)&gt;0),I122*_xlfn.XLOOKUP(Table_Sales[[#This Row],[Product Name]],Inventory!D:D,Inventory!F:F)," ")</f>
        <v xml:space="preserve"> </v>
      </c>
      <c r="M12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23" spans="3:13" x14ac:dyDescent="0.35">
      <c r="C123" s="13"/>
      <c r="D123" s="12" t="s">
        <v>210</v>
      </c>
      <c r="G123" s="14" t="str">
        <f>_xlfn.XLOOKUP(Table_Sales[[#This Row],[Product Name]],Table6[Prodcuts],Table6[Product ID]," ")</f>
        <v xml:space="preserve"> </v>
      </c>
      <c r="K12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23" s="16" t="str">
        <f>IF(AND(Table_Sales[[#This Row],[Quantity Sold]]&gt;0,_xlfn.XLOOKUP(Table_Sales[[#This Row],[Product Name]],Inventory!D:D,Inventory!F:F)&gt;0),I123*_xlfn.XLOOKUP(Table_Sales[[#This Row],[Product Name]],Inventory!D:D,Inventory!F:F)," ")</f>
        <v xml:space="preserve"> </v>
      </c>
      <c r="M12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24" spans="3:13" x14ac:dyDescent="0.35">
      <c r="C124" s="13"/>
      <c r="D124" s="12" t="s">
        <v>211</v>
      </c>
      <c r="G124" s="14" t="str">
        <f>_xlfn.XLOOKUP(Table_Sales[[#This Row],[Product Name]],Table6[Prodcuts],Table6[Product ID]," ")</f>
        <v xml:space="preserve"> </v>
      </c>
      <c r="K12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24" s="16" t="str">
        <f>IF(AND(Table_Sales[[#This Row],[Quantity Sold]]&gt;0,_xlfn.XLOOKUP(Table_Sales[[#This Row],[Product Name]],Inventory!D:D,Inventory!F:F)&gt;0),I124*_xlfn.XLOOKUP(Table_Sales[[#This Row],[Product Name]],Inventory!D:D,Inventory!F:F)," ")</f>
        <v xml:space="preserve"> </v>
      </c>
      <c r="M12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25" spans="3:13" x14ac:dyDescent="0.35">
      <c r="C125" s="13"/>
      <c r="D125" s="12" t="s">
        <v>212</v>
      </c>
      <c r="G125" s="14" t="str">
        <f>_xlfn.XLOOKUP(Table_Sales[[#This Row],[Product Name]],Table6[Prodcuts],Table6[Product ID]," ")</f>
        <v xml:space="preserve"> </v>
      </c>
      <c r="K12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25" s="16" t="str">
        <f>IF(AND(Table_Sales[[#This Row],[Quantity Sold]]&gt;0,_xlfn.XLOOKUP(Table_Sales[[#This Row],[Product Name]],Inventory!D:D,Inventory!F:F)&gt;0),I125*_xlfn.XLOOKUP(Table_Sales[[#This Row],[Product Name]],Inventory!D:D,Inventory!F:F)," ")</f>
        <v xml:space="preserve"> </v>
      </c>
      <c r="M12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26" spans="3:13" x14ac:dyDescent="0.35">
      <c r="C126" s="13"/>
      <c r="D126" s="12" t="s">
        <v>213</v>
      </c>
      <c r="G126" s="14" t="str">
        <f>_xlfn.XLOOKUP(Table_Sales[[#This Row],[Product Name]],Table6[Prodcuts],Table6[Product ID]," ")</f>
        <v xml:space="preserve"> </v>
      </c>
      <c r="K12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26" s="16" t="str">
        <f>IF(AND(Table_Sales[[#This Row],[Quantity Sold]]&gt;0,_xlfn.XLOOKUP(Table_Sales[[#This Row],[Product Name]],Inventory!D:D,Inventory!F:F)&gt;0),I126*_xlfn.XLOOKUP(Table_Sales[[#This Row],[Product Name]],Inventory!D:D,Inventory!F:F)," ")</f>
        <v xml:space="preserve"> </v>
      </c>
      <c r="M12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27" spans="3:13" x14ac:dyDescent="0.35">
      <c r="C127" s="13"/>
      <c r="D127" s="12" t="s">
        <v>214</v>
      </c>
      <c r="G127" s="14" t="str">
        <f>_xlfn.XLOOKUP(Table_Sales[[#This Row],[Product Name]],Table6[Prodcuts],Table6[Product ID]," ")</f>
        <v xml:space="preserve"> </v>
      </c>
      <c r="K12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27" s="16" t="str">
        <f>IF(AND(Table_Sales[[#This Row],[Quantity Sold]]&gt;0,_xlfn.XLOOKUP(Table_Sales[[#This Row],[Product Name]],Inventory!D:D,Inventory!F:F)&gt;0),I127*_xlfn.XLOOKUP(Table_Sales[[#This Row],[Product Name]],Inventory!D:D,Inventory!F:F)," ")</f>
        <v xml:space="preserve"> </v>
      </c>
      <c r="M12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28" spans="3:13" x14ac:dyDescent="0.35">
      <c r="C128" s="13"/>
      <c r="D128" s="12" t="s">
        <v>215</v>
      </c>
      <c r="G128" s="14" t="str">
        <f>_xlfn.XLOOKUP(Table_Sales[[#This Row],[Product Name]],Table6[Prodcuts],Table6[Product ID]," ")</f>
        <v xml:space="preserve"> </v>
      </c>
      <c r="K12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28" s="16" t="str">
        <f>IF(AND(Table_Sales[[#This Row],[Quantity Sold]]&gt;0,_xlfn.XLOOKUP(Table_Sales[[#This Row],[Product Name]],Inventory!D:D,Inventory!F:F)&gt;0),I128*_xlfn.XLOOKUP(Table_Sales[[#This Row],[Product Name]],Inventory!D:D,Inventory!F:F)," ")</f>
        <v xml:space="preserve"> </v>
      </c>
      <c r="M12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29" spans="3:13" x14ac:dyDescent="0.35">
      <c r="C129" s="13"/>
      <c r="D129" s="12" t="s">
        <v>216</v>
      </c>
      <c r="G129" s="14" t="str">
        <f>_xlfn.XLOOKUP(Table_Sales[[#This Row],[Product Name]],Table6[Prodcuts],Table6[Product ID]," ")</f>
        <v xml:space="preserve"> </v>
      </c>
      <c r="K12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29" s="16" t="str">
        <f>IF(AND(Table_Sales[[#This Row],[Quantity Sold]]&gt;0,_xlfn.XLOOKUP(Table_Sales[[#This Row],[Product Name]],Inventory!D:D,Inventory!F:F)&gt;0),I129*_xlfn.XLOOKUP(Table_Sales[[#This Row],[Product Name]],Inventory!D:D,Inventory!F:F)," ")</f>
        <v xml:space="preserve"> </v>
      </c>
      <c r="M12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30" spans="3:13" x14ac:dyDescent="0.35">
      <c r="C130" s="13"/>
      <c r="D130" s="12" t="s">
        <v>217</v>
      </c>
      <c r="G130" s="14" t="str">
        <f>_xlfn.XLOOKUP(Table_Sales[[#This Row],[Product Name]],Table6[Prodcuts],Table6[Product ID]," ")</f>
        <v xml:space="preserve"> </v>
      </c>
      <c r="K13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30" s="16" t="str">
        <f>IF(AND(Table_Sales[[#This Row],[Quantity Sold]]&gt;0,_xlfn.XLOOKUP(Table_Sales[[#This Row],[Product Name]],Inventory!D:D,Inventory!F:F)&gt;0),I130*_xlfn.XLOOKUP(Table_Sales[[#This Row],[Product Name]],Inventory!D:D,Inventory!F:F)," ")</f>
        <v xml:space="preserve"> </v>
      </c>
      <c r="M13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31" spans="3:13" x14ac:dyDescent="0.35">
      <c r="C131" s="13"/>
      <c r="D131" s="12" t="s">
        <v>218</v>
      </c>
      <c r="G131" s="14" t="str">
        <f>_xlfn.XLOOKUP(Table_Sales[[#This Row],[Product Name]],Table6[Prodcuts],Table6[Product ID]," ")</f>
        <v xml:space="preserve"> </v>
      </c>
      <c r="K13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31" s="16" t="str">
        <f>IF(AND(Table_Sales[[#This Row],[Quantity Sold]]&gt;0,_xlfn.XLOOKUP(Table_Sales[[#This Row],[Product Name]],Inventory!D:D,Inventory!F:F)&gt;0),I131*_xlfn.XLOOKUP(Table_Sales[[#This Row],[Product Name]],Inventory!D:D,Inventory!F:F)," ")</f>
        <v xml:space="preserve"> </v>
      </c>
      <c r="M13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32" spans="3:13" x14ac:dyDescent="0.35">
      <c r="C132" s="13"/>
      <c r="D132" s="12" t="s">
        <v>219</v>
      </c>
      <c r="G132" s="14" t="str">
        <f>_xlfn.XLOOKUP(Table_Sales[[#This Row],[Product Name]],Table6[Prodcuts],Table6[Product ID]," ")</f>
        <v xml:space="preserve"> </v>
      </c>
      <c r="K13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32" s="16" t="str">
        <f>IF(AND(Table_Sales[[#This Row],[Quantity Sold]]&gt;0,_xlfn.XLOOKUP(Table_Sales[[#This Row],[Product Name]],Inventory!D:D,Inventory!F:F)&gt;0),I132*_xlfn.XLOOKUP(Table_Sales[[#This Row],[Product Name]],Inventory!D:D,Inventory!F:F)," ")</f>
        <v xml:space="preserve"> </v>
      </c>
      <c r="M13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33" spans="3:13" x14ac:dyDescent="0.35">
      <c r="C133" s="13"/>
      <c r="D133" s="12" t="s">
        <v>220</v>
      </c>
      <c r="G133" s="14" t="str">
        <f>_xlfn.XLOOKUP(Table_Sales[[#This Row],[Product Name]],Table6[Prodcuts],Table6[Product ID]," ")</f>
        <v xml:space="preserve"> </v>
      </c>
      <c r="K13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33" s="16" t="str">
        <f>IF(AND(Table_Sales[[#This Row],[Quantity Sold]]&gt;0,_xlfn.XLOOKUP(Table_Sales[[#This Row],[Product Name]],Inventory!D:D,Inventory!F:F)&gt;0),I133*_xlfn.XLOOKUP(Table_Sales[[#This Row],[Product Name]],Inventory!D:D,Inventory!F:F)," ")</f>
        <v xml:space="preserve"> </v>
      </c>
      <c r="M13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34" spans="3:13" x14ac:dyDescent="0.35">
      <c r="C134" s="13"/>
      <c r="D134" s="12" t="s">
        <v>221</v>
      </c>
      <c r="G134" s="14" t="str">
        <f>_xlfn.XLOOKUP(Table_Sales[[#This Row],[Product Name]],Table6[Prodcuts],Table6[Product ID]," ")</f>
        <v xml:space="preserve"> </v>
      </c>
      <c r="K13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34" s="16" t="str">
        <f>IF(AND(Table_Sales[[#This Row],[Quantity Sold]]&gt;0,_xlfn.XLOOKUP(Table_Sales[[#This Row],[Product Name]],Inventory!D:D,Inventory!F:F)&gt;0),I134*_xlfn.XLOOKUP(Table_Sales[[#This Row],[Product Name]],Inventory!D:D,Inventory!F:F)," ")</f>
        <v xml:space="preserve"> </v>
      </c>
      <c r="M13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35" spans="3:13" x14ac:dyDescent="0.35">
      <c r="C135" s="13"/>
      <c r="D135" s="12" t="s">
        <v>222</v>
      </c>
      <c r="G135" s="14" t="str">
        <f>_xlfn.XLOOKUP(Table_Sales[[#This Row],[Product Name]],Table6[Prodcuts],Table6[Product ID]," ")</f>
        <v xml:space="preserve"> </v>
      </c>
      <c r="K13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35" s="16" t="str">
        <f>IF(AND(Table_Sales[[#This Row],[Quantity Sold]]&gt;0,_xlfn.XLOOKUP(Table_Sales[[#This Row],[Product Name]],Inventory!D:D,Inventory!F:F)&gt;0),I135*_xlfn.XLOOKUP(Table_Sales[[#This Row],[Product Name]],Inventory!D:D,Inventory!F:F)," ")</f>
        <v xml:space="preserve"> </v>
      </c>
      <c r="M13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36" spans="3:13" x14ac:dyDescent="0.35">
      <c r="C136" s="13"/>
      <c r="D136" s="12" t="s">
        <v>223</v>
      </c>
      <c r="G136" s="14" t="str">
        <f>_xlfn.XLOOKUP(Table_Sales[[#This Row],[Product Name]],Table6[Prodcuts],Table6[Product ID]," ")</f>
        <v xml:space="preserve"> </v>
      </c>
      <c r="K13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36" s="16" t="str">
        <f>IF(AND(Table_Sales[[#This Row],[Quantity Sold]]&gt;0,_xlfn.XLOOKUP(Table_Sales[[#This Row],[Product Name]],Inventory!D:D,Inventory!F:F)&gt;0),I136*_xlfn.XLOOKUP(Table_Sales[[#This Row],[Product Name]],Inventory!D:D,Inventory!F:F)," ")</f>
        <v xml:space="preserve"> </v>
      </c>
      <c r="M13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37" spans="3:13" x14ac:dyDescent="0.35">
      <c r="C137" s="13"/>
      <c r="D137" s="12" t="s">
        <v>224</v>
      </c>
      <c r="G137" s="14" t="str">
        <f>_xlfn.XLOOKUP(Table_Sales[[#This Row],[Product Name]],Table6[Prodcuts],Table6[Product ID]," ")</f>
        <v xml:space="preserve"> </v>
      </c>
      <c r="K13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37" s="16" t="str">
        <f>IF(AND(Table_Sales[[#This Row],[Quantity Sold]]&gt;0,_xlfn.XLOOKUP(Table_Sales[[#This Row],[Product Name]],Inventory!D:D,Inventory!F:F)&gt;0),I137*_xlfn.XLOOKUP(Table_Sales[[#This Row],[Product Name]],Inventory!D:D,Inventory!F:F)," ")</f>
        <v xml:space="preserve"> </v>
      </c>
      <c r="M13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38" spans="3:13" x14ac:dyDescent="0.35">
      <c r="C138" s="13"/>
      <c r="D138" s="12" t="s">
        <v>225</v>
      </c>
      <c r="G138" s="14" t="str">
        <f>_xlfn.XLOOKUP(Table_Sales[[#This Row],[Product Name]],Table6[Prodcuts],Table6[Product ID]," ")</f>
        <v xml:space="preserve"> </v>
      </c>
      <c r="K13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38" s="16" t="str">
        <f>IF(AND(Table_Sales[[#This Row],[Quantity Sold]]&gt;0,_xlfn.XLOOKUP(Table_Sales[[#This Row],[Product Name]],Inventory!D:D,Inventory!F:F)&gt;0),I138*_xlfn.XLOOKUP(Table_Sales[[#This Row],[Product Name]],Inventory!D:D,Inventory!F:F)," ")</f>
        <v xml:space="preserve"> </v>
      </c>
      <c r="M13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39" spans="3:13" x14ac:dyDescent="0.35">
      <c r="C139" s="13"/>
      <c r="D139" s="12" t="s">
        <v>226</v>
      </c>
      <c r="G139" s="14" t="str">
        <f>_xlfn.XLOOKUP(Table_Sales[[#This Row],[Product Name]],Table6[Prodcuts],Table6[Product ID]," ")</f>
        <v xml:space="preserve"> </v>
      </c>
      <c r="K13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39" s="16" t="str">
        <f>IF(AND(Table_Sales[[#This Row],[Quantity Sold]]&gt;0,_xlfn.XLOOKUP(Table_Sales[[#This Row],[Product Name]],Inventory!D:D,Inventory!F:F)&gt;0),I139*_xlfn.XLOOKUP(Table_Sales[[#This Row],[Product Name]],Inventory!D:D,Inventory!F:F)," ")</f>
        <v xml:space="preserve"> </v>
      </c>
      <c r="M13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40" spans="3:13" x14ac:dyDescent="0.35">
      <c r="C140" s="13"/>
      <c r="D140" s="12" t="s">
        <v>227</v>
      </c>
      <c r="G140" s="14" t="str">
        <f>_xlfn.XLOOKUP(Table_Sales[[#This Row],[Product Name]],Table6[Prodcuts],Table6[Product ID]," ")</f>
        <v xml:space="preserve"> </v>
      </c>
      <c r="K14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40" s="16" t="str">
        <f>IF(AND(Table_Sales[[#This Row],[Quantity Sold]]&gt;0,_xlfn.XLOOKUP(Table_Sales[[#This Row],[Product Name]],Inventory!D:D,Inventory!F:F)&gt;0),I140*_xlfn.XLOOKUP(Table_Sales[[#This Row],[Product Name]],Inventory!D:D,Inventory!F:F)," ")</f>
        <v xml:space="preserve"> </v>
      </c>
      <c r="M14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41" spans="3:13" x14ac:dyDescent="0.35">
      <c r="C141" s="13"/>
      <c r="D141" s="12" t="s">
        <v>228</v>
      </c>
      <c r="G141" s="14" t="str">
        <f>_xlfn.XLOOKUP(Table_Sales[[#This Row],[Product Name]],Table6[Prodcuts],Table6[Product ID]," ")</f>
        <v xml:space="preserve"> </v>
      </c>
      <c r="K14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41" s="16" t="str">
        <f>IF(AND(Table_Sales[[#This Row],[Quantity Sold]]&gt;0,_xlfn.XLOOKUP(Table_Sales[[#This Row],[Product Name]],Inventory!D:D,Inventory!F:F)&gt;0),I141*_xlfn.XLOOKUP(Table_Sales[[#This Row],[Product Name]],Inventory!D:D,Inventory!F:F)," ")</f>
        <v xml:space="preserve"> </v>
      </c>
      <c r="M14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42" spans="3:13" x14ac:dyDescent="0.35">
      <c r="C142" s="13"/>
      <c r="D142" s="12" t="s">
        <v>229</v>
      </c>
      <c r="G142" s="14" t="str">
        <f>_xlfn.XLOOKUP(Table_Sales[[#This Row],[Product Name]],Table6[Prodcuts],Table6[Product ID]," ")</f>
        <v xml:space="preserve"> </v>
      </c>
      <c r="K14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42" s="16" t="str">
        <f>IF(AND(Table_Sales[[#This Row],[Quantity Sold]]&gt;0,_xlfn.XLOOKUP(Table_Sales[[#This Row],[Product Name]],Inventory!D:D,Inventory!F:F)&gt;0),I142*_xlfn.XLOOKUP(Table_Sales[[#This Row],[Product Name]],Inventory!D:D,Inventory!F:F)," ")</f>
        <v xml:space="preserve"> </v>
      </c>
      <c r="M14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43" spans="3:13" x14ac:dyDescent="0.35">
      <c r="C143" s="13"/>
      <c r="D143" s="12" t="s">
        <v>230</v>
      </c>
      <c r="G143" s="14" t="str">
        <f>_xlfn.XLOOKUP(Table_Sales[[#This Row],[Product Name]],Table6[Prodcuts],Table6[Product ID]," ")</f>
        <v xml:space="preserve"> </v>
      </c>
      <c r="K14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43" s="16" t="str">
        <f>IF(AND(Table_Sales[[#This Row],[Quantity Sold]]&gt;0,_xlfn.XLOOKUP(Table_Sales[[#This Row],[Product Name]],Inventory!D:D,Inventory!F:F)&gt;0),I143*_xlfn.XLOOKUP(Table_Sales[[#This Row],[Product Name]],Inventory!D:D,Inventory!F:F)," ")</f>
        <v xml:space="preserve"> </v>
      </c>
      <c r="M14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44" spans="3:13" x14ac:dyDescent="0.35">
      <c r="C144" s="13"/>
      <c r="D144" s="12" t="s">
        <v>231</v>
      </c>
      <c r="G144" s="14" t="str">
        <f>_xlfn.XLOOKUP(Table_Sales[[#This Row],[Product Name]],Table6[Prodcuts],Table6[Product ID]," ")</f>
        <v xml:space="preserve"> </v>
      </c>
      <c r="K14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44" s="16" t="str">
        <f>IF(AND(Table_Sales[[#This Row],[Quantity Sold]]&gt;0,_xlfn.XLOOKUP(Table_Sales[[#This Row],[Product Name]],Inventory!D:D,Inventory!F:F)&gt;0),I144*_xlfn.XLOOKUP(Table_Sales[[#This Row],[Product Name]],Inventory!D:D,Inventory!F:F)," ")</f>
        <v xml:space="preserve"> </v>
      </c>
      <c r="M14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45" spans="3:13" x14ac:dyDescent="0.35">
      <c r="C145" s="13"/>
      <c r="D145" s="12" t="s">
        <v>232</v>
      </c>
      <c r="G145" s="14" t="str">
        <f>_xlfn.XLOOKUP(Table_Sales[[#This Row],[Product Name]],Table6[Prodcuts],Table6[Product ID]," ")</f>
        <v xml:space="preserve"> </v>
      </c>
      <c r="K14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45" s="16" t="str">
        <f>IF(AND(Table_Sales[[#This Row],[Quantity Sold]]&gt;0,_xlfn.XLOOKUP(Table_Sales[[#This Row],[Product Name]],Inventory!D:D,Inventory!F:F)&gt;0),I145*_xlfn.XLOOKUP(Table_Sales[[#This Row],[Product Name]],Inventory!D:D,Inventory!F:F)," ")</f>
        <v xml:space="preserve"> </v>
      </c>
      <c r="M14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46" spans="3:13" x14ac:dyDescent="0.35">
      <c r="C146" s="13"/>
      <c r="D146" s="12" t="s">
        <v>233</v>
      </c>
      <c r="G146" s="14" t="str">
        <f>_xlfn.XLOOKUP(Table_Sales[[#This Row],[Product Name]],Table6[Prodcuts],Table6[Product ID]," ")</f>
        <v xml:space="preserve"> </v>
      </c>
      <c r="K14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46" s="16" t="str">
        <f>IF(AND(Table_Sales[[#This Row],[Quantity Sold]]&gt;0,_xlfn.XLOOKUP(Table_Sales[[#This Row],[Product Name]],Inventory!D:D,Inventory!F:F)&gt;0),I146*_xlfn.XLOOKUP(Table_Sales[[#This Row],[Product Name]],Inventory!D:D,Inventory!F:F)," ")</f>
        <v xml:space="preserve"> </v>
      </c>
      <c r="M14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47" spans="3:13" x14ac:dyDescent="0.35">
      <c r="C147" s="13"/>
      <c r="D147" s="12" t="s">
        <v>234</v>
      </c>
      <c r="G147" s="14" t="str">
        <f>_xlfn.XLOOKUP(Table_Sales[[#This Row],[Product Name]],Table6[Prodcuts],Table6[Product ID]," ")</f>
        <v xml:space="preserve"> </v>
      </c>
      <c r="K14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47" s="16" t="str">
        <f>IF(AND(Table_Sales[[#This Row],[Quantity Sold]]&gt;0,_xlfn.XLOOKUP(Table_Sales[[#This Row],[Product Name]],Inventory!D:D,Inventory!F:F)&gt;0),I147*_xlfn.XLOOKUP(Table_Sales[[#This Row],[Product Name]],Inventory!D:D,Inventory!F:F)," ")</f>
        <v xml:space="preserve"> </v>
      </c>
      <c r="M14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48" spans="3:13" x14ac:dyDescent="0.35">
      <c r="C148" s="13"/>
      <c r="D148" s="12" t="s">
        <v>235</v>
      </c>
      <c r="G148" s="14" t="str">
        <f>_xlfn.XLOOKUP(Table_Sales[[#This Row],[Product Name]],Table6[Prodcuts],Table6[Product ID]," ")</f>
        <v xml:space="preserve"> </v>
      </c>
      <c r="K14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48" s="16" t="str">
        <f>IF(AND(Table_Sales[[#This Row],[Quantity Sold]]&gt;0,_xlfn.XLOOKUP(Table_Sales[[#This Row],[Product Name]],Inventory!D:D,Inventory!F:F)&gt;0),I148*_xlfn.XLOOKUP(Table_Sales[[#This Row],[Product Name]],Inventory!D:D,Inventory!F:F)," ")</f>
        <v xml:space="preserve"> </v>
      </c>
      <c r="M14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49" spans="3:13" x14ac:dyDescent="0.35">
      <c r="C149" s="13"/>
      <c r="D149" s="12" t="s">
        <v>236</v>
      </c>
      <c r="G149" s="14" t="str">
        <f>_xlfn.XLOOKUP(Table_Sales[[#This Row],[Product Name]],Table6[Prodcuts],Table6[Product ID]," ")</f>
        <v xml:space="preserve"> </v>
      </c>
      <c r="K14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49" s="16" t="str">
        <f>IF(AND(Table_Sales[[#This Row],[Quantity Sold]]&gt;0,_xlfn.XLOOKUP(Table_Sales[[#This Row],[Product Name]],Inventory!D:D,Inventory!F:F)&gt;0),I149*_xlfn.XLOOKUP(Table_Sales[[#This Row],[Product Name]],Inventory!D:D,Inventory!F:F)," ")</f>
        <v xml:space="preserve"> </v>
      </c>
      <c r="M14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50" spans="3:13" x14ac:dyDescent="0.35">
      <c r="C150" s="13"/>
      <c r="D150" s="12" t="s">
        <v>237</v>
      </c>
      <c r="G150" s="14" t="str">
        <f>_xlfn.XLOOKUP(Table_Sales[[#This Row],[Product Name]],Table6[Prodcuts],Table6[Product ID]," ")</f>
        <v xml:space="preserve"> </v>
      </c>
      <c r="K15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50" s="16" t="str">
        <f>IF(AND(Table_Sales[[#This Row],[Quantity Sold]]&gt;0,_xlfn.XLOOKUP(Table_Sales[[#This Row],[Product Name]],Inventory!D:D,Inventory!F:F)&gt;0),I150*_xlfn.XLOOKUP(Table_Sales[[#This Row],[Product Name]],Inventory!D:D,Inventory!F:F)," ")</f>
        <v xml:space="preserve"> </v>
      </c>
      <c r="M15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51" spans="3:13" x14ac:dyDescent="0.35">
      <c r="C151" s="13"/>
      <c r="D151" s="12" t="s">
        <v>238</v>
      </c>
      <c r="G151" s="14" t="str">
        <f>_xlfn.XLOOKUP(Table_Sales[[#This Row],[Product Name]],Table6[Prodcuts],Table6[Product ID]," ")</f>
        <v xml:space="preserve"> </v>
      </c>
      <c r="K15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51" s="16" t="str">
        <f>IF(AND(Table_Sales[[#This Row],[Quantity Sold]]&gt;0,_xlfn.XLOOKUP(Table_Sales[[#This Row],[Product Name]],Inventory!D:D,Inventory!F:F)&gt;0),I151*_xlfn.XLOOKUP(Table_Sales[[#This Row],[Product Name]],Inventory!D:D,Inventory!F:F)," ")</f>
        <v xml:space="preserve"> </v>
      </c>
      <c r="M15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52" spans="3:13" x14ac:dyDescent="0.35">
      <c r="C152" s="13"/>
      <c r="D152" s="12" t="s">
        <v>239</v>
      </c>
      <c r="G152" s="14" t="str">
        <f>_xlfn.XLOOKUP(Table_Sales[[#This Row],[Product Name]],Table6[Prodcuts],Table6[Product ID]," ")</f>
        <v xml:space="preserve"> </v>
      </c>
      <c r="K15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52" s="16" t="str">
        <f>IF(AND(Table_Sales[[#This Row],[Quantity Sold]]&gt;0,_xlfn.XLOOKUP(Table_Sales[[#This Row],[Product Name]],Inventory!D:D,Inventory!F:F)&gt;0),I152*_xlfn.XLOOKUP(Table_Sales[[#This Row],[Product Name]],Inventory!D:D,Inventory!F:F)," ")</f>
        <v xml:space="preserve"> </v>
      </c>
      <c r="M15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53" spans="3:13" x14ac:dyDescent="0.35">
      <c r="C153" s="13"/>
      <c r="D153" s="12" t="s">
        <v>240</v>
      </c>
      <c r="G153" s="14" t="str">
        <f>_xlfn.XLOOKUP(Table_Sales[[#This Row],[Product Name]],Table6[Prodcuts],Table6[Product ID]," ")</f>
        <v xml:space="preserve"> </v>
      </c>
      <c r="K15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53" s="16" t="str">
        <f>IF(AND(Table_Sales[[#This Row],[Quantity Sold]]&gt;0,_xlfn.XLOOKUP(Table_Sales[[#This Row],[Product Name]],Inventory!D:D,Inventory!F:F)&gt;0),I153*_xlfn.XLOOKUP(Table_Sales[[#This Row],[Product Name]],Inventory!D:D,Inventory!F:F)," ")</f>
        <v xml:space="preserve"> </v>
      </c>
      <c r="M15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54" spans="3:13" x14ac:dyDescent="0.35">
      <c r="C154" s="13"/>
      <c r="D154" s="12" t="s">
        <v>241</v>
      </c>
      <c r="G154" s="14" t="str">
        <f>_xlfn.XLOOKUP(Table_Sales[[#This Row],[Product Name]],Table6[Prodcuts],Table6[Product ID]," ")</f>
        <v xml:space="preserve"> </v>
      </c>
      <c r="K15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54" s="16" t="str">
        <f>IF(AND(Table_Sales[[#This Row],[Quantity Sold]]&gt;0,_xlfn.XLOOKUP(Table_Sales[[#This Row],[Product Name]],Inventory!D:D,Inventory!F:F)&gt;0),I154*_xlfn.XLOOKUP(Table_Sales[[#This Row],[Product Name]],Inventory!D:D,Inventory!F:F)," ")</f>
        <v xml:space="preserve"> </v>
      </c>
      <c r="M15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55" spans="3:13" x14ac:dyDescent="0.35">
      <c r="C155" s="13"/>
      <c r="D155" s="12" t="s">
        <v>242</v>
      </c>
      <c r="G155" s="14" t="str">
        <f>_xlfn.XLOOKUP(Table_Sales[[#This Row],[Product Name]],Table6[Prodcuts],Table6[Product ID]," ")</f>
        <v xml:space="preserve"> </v>
      </c>
      <c r="K15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55" s="16" t="str">
        <f>IF(AND(Table_Sales[[#This Row],[Quantity Sold]]&gt;0,_xlfn.XLOOKUP(Table_Sales[[#This Row],[Product Name]],Inventory!D:D,Inventory!F:F)&gt;0),I155*_xlfn.XLOOKUP(Table_Sales[[#This Row],[Product Name]],Inventory!D:D,Inventory!F:F)," ")</f>
        <v xml:space="preserve"> </v>
      </c>
      <c r="M15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56" spans="3:13" x14ac:dyDescent="0.35">
      <c r="C156" s="13"/>
      <c r="D156" s="12" t="s">
        <v>243</v>
      </c>
      <c r="G156" s="14" t="str">
        <f>_xlfn.XLOOKUP(Table_Sales[[#This Row],[Product Name]],Table6[Prodcuts],Table6[Product ID]," ")</f>
        <v xml:space="preserve"> </v>
      </c>
      <c r="K15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56" s="16" t="str">
        <f>IF(AND(Table_Sales[[#This Row],[Quantity Sold]]&gt;0,_xlfn.XLOOKUP(Table_Sales[[#This Row],[Product Name]],Inventory!D:D,Inventory!F:F)&gt;0),I156*_xlfn.XLOOKUP(Table_Sales[[#This Row],[Product Name]],Inventory!D:D,Inventory!F:F)," ")</f>
        <v xml:space="preserve"> </v>
      </c>
      <c r="M15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57" spans="3:13" x14ac:dyDescent="0.35">
      <c r="C157" s="13"/>
      <c r="D157" s="12" t="s">
        <v>244</v>
      </c>
      <c r="G157" s="14" t="str">
        <f>_xlfn.XLOOKUP(Table_Sales[[#This Row],[Product Name]],Table6[Prodcuts],Table6[Product ID]," ")</f>
        <v xml:space="preserve"> </v>
      </c>
      <c r="K15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57" s="16" t="str">
        <f>IF(AND(Table_Sales[[#This Row],[Quantity Sold]]&gt;0,_xlfn.XLOOKUP(Table_Sales[[#This Row],[Product Name]],Inventory!D:D,Inventory!F:F)&gt;0),I157*_xlfn.XLOOKUP(Table_Sales[[#This Row],[Product Name]],Inventory!D:D,Inventory!F:F)," ")</f>
        <v xml:space="preserve"> </v>
      </c>
      <c r="M15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58" spans="3:13" x14ac:dyDescent="0.35">
      <c r="C158" s="13"/>
      <c r="D158" s="12" t="s">
        <v>245</v>
      </c>
      <c r="G158" s="14" t="str">
        <f>_xlfn.XLOOKUP(Table_Sales[[#This Row],[Product Name]],Table6[Prodcuts],Table6[Product ID]," ")</f>
        <v xml:space="preserve"> </v>
      </c>
      <c r="K15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58" s="16" t="str">
        <f>IF(AND(Table_Sales[[#This Row],[Quantity Sold]]&gt;0,_xlfn.XLOOKUP(Table_Sales[[#This Row],[Product Name]],Inventory!D:D,Inventory!F:F)&gt;0),I158*_xlfn.XLOOKUP(Table_Sales[[#This Row],[Product Name]],Inventory!D:D,Inventory!F:F)," ")</f>
        <v xml:space="preserve"> </v>
      </c>
      <c r="M15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59" spans="3:13" x14ac:dyDescent="0.35">
      <c r="C159" s="13"/>
      <c r="D159" s="12" t="s">
        <v>246</v>
      </c>
      <c r="G159" s="14" t="str">
        <f>_xlfn.XLOOKUP(Table_Sales[[#This Row],[Product Name]],Table6[Prodcuts],Table6[Product ID]," ")</f>
        <v xml:space="preserve"> </v>
      </c>
      <c r="K15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59" s="16" t="str">
        <f>IF(AND(Table_Sales[[#This Row],[Quantity Sold]]&gt;0,_xlfn.XLOOKUP(Table_Sales[[#This Row],[Product Name]],Inventory!D:D,Inventory!F:F)&gt;0),I159*_xlfn.XLOOKUP(Table_Sales[[#This Row],[Product Name]],Inventory!D:D,Inventory!F:F)," ")</f>
        <v xml:space="preserve"> </v>
      </c>
      <c r="M15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60" spans="3:13" x14ac:dyDescent="0.35">
      <c r="C160" s="13"/>
      <c r="D160" s="12" t="s">
        <v>247</v>
      </c>
      <c r="G160" s="14" t="str">
        <f>_xlfn.XLOOKUP(Table_Sales[[#This Row],[Product Name]],Table6[Prodcuts],Table6[Product ID]," ")</f>
        <v xml:space="preserve"> </v>
      </c>
      <c r="K16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60" s="16" t="str">
        <f>IF(AND(Table_Sales[[#This Row],[Quantity Sold]]&gt;0,_xlfn.XLOOKUP(Table_Sales[[#This Row],[Product Name]],Inventory!D:D,Inventory!F:F)&gt;0),I160*_xlfn.XLOOKUP(Table_Sales[[#This Row],[Product Name]],Inventory!D:D,Inventory!F:F)," ")</f>
        <v xml:space="preserve"> </v>
      </c>
      <c r="M16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61" spans="3:13" x14ac:dyDescent="0.35">
      <c r="C161" s="13"/>
      <c r="D161" s="12" t="s">
        <v>248</v>
      </c>
      <c r="G161" s="14" t="str">
        <f>_xlfn.XLOOKUP(Table_Sales[[#This Row],[Product Name]],Table6[Prodcuts],Table6[Product ID]," ")</f>
        <v xml:space="preserve"> </v>
      </c>
      <c r="K16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61" s="16" t="str">
        <f>IF(AND(Table_Sales[[#This Row],[Quantity Sold]]&gt;0,_xlfn.XLOOKUP(Table_Sales[[#This Row],[Product Name]],Inventory!D:D,Inventory!F:F)&gt;0),I161*_xlfn.XLOOKUP(Table_Sales[[#This Row],[Product Name]],Inventory!D:D,Inventory!F:F)," ")</f>
        <v xml:space="preserve"> </v>
      </c>
      <c r="M16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62" spans="3:13" x14ac:dyDescent="0.35">
      <c r="C162" s="13"/>
      <c r="D162" s="12" t="s">
        <v>249</v>
      </c>
      <c r="G162" s="14" t="str">
        <f>_xlfn.XLOOKUP(Table_Sales[[#This Row],[Product Name]],Table6[Prodcuts],Table6[Product ID]," ")</f>
        <v xml:space="preserve"> </v>
      </c>
      <c r="K16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62" s="16" t="str">
        <f>IF(AND(Table_Sales[[#This Row],[Quantity Sold]]&gt;0,_xlfn.XLOOKUP(Table_Sales[[#This Row],[Product Name]],Inventory!D:D,Inventory!F:F)&gt;0),I162*_xlfn.XLOOKUP(Table_Sales[[#This Row],[Product Name]],Inventory!D:D,Inventory!F:F)," ")</f>
        <v xml:space="preserve"> </v>
      </c>
      <c r="M16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63" spans="3:13" x14ac:dyDescent="0.35">
      <c r="C163" s="13"/>
      <c r="D163" s="12" t="s">
        <v>250</v>
      </c>
      <c r="G163" s="14" t="str">
        <f>_xlfn.XLOOKUP(Table_Sales[[#This Row],[Product Name]],Table6[Prodcuts],Table6[Product ID]," ")</f>
        <v xml:space="preserve"> </v>
      </c>
      <c r="K16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63" s="16" t="str">
        <f>IF(AND(Table_Sales[[#This Row],[Quantity Sold]]&gt;0,_xlfn.XLOOKUP(Table_Sales[[#This Row],[Product Name]],Inventory!D:D,Inventory!F:F)&gt;0),I163*_xlfn.XLOOKUP(Table_Sales[[#This Row],[Product Name]],Inventory!D:D,Inventory!F:F)," ")</f>
        <v xml:space="preserve"> </v>
      </c>
      <c r="M16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64" spans="3:13" x14ac:dyDescent="0.35">
      <c r="C164" s="13"/>
      <c r="D164" s="12" t="s">
        <v>251</v>
      </c>
      <c r="G164" s="14" t="str">
        <f>_xlfn.XLOOKUP(Table_Sales[[#This Row],[Product Name]],Table6[Prodcuts],Table6[Product ID]," ")</f>
        <v xml:space="preserve"> </v>
      </c>
      <c r="K16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64" s="16" t="str">
        <f>IF(AND(Table_Sales[[#This Row],[Quantity Sold]]&gt;0,_xlfn.XLOOKUP(Table_Sales[[#This Row],[Product Name]],Inventory!D:D,Inventory!F:F)&gt;0),I164*_xlfn.XLOOKUP(Table_Sales[[#This Row],[Product Name]],Inventory!D:D,Inventory!F:F)," ")</f>
        <v xml:space="preserve"> </v>
      </c>
      <c r="M16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65" spans="3:13" x14ac:dyDescent="0.35">
      <c r="C165" s="13"/>
      <c r="D165" s="12" t="s">
        <v>252</v>
      </c>
      <c r="G165" s="14" t="str">
        <f>_xlfn.XLOOKUP(Table_Sales[[#This Row],[Product Name]],Table6[Prodcuts],Table6[Product ID]," ")</f>
        <v xml:space="preserve"> </v>
      </c>
      <c r="K16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65" s="16" t="str">
        <f>IF(AND(Table_Sales[[#This Row],[Quantity Sold]]&gt;0,_xlfn.XLOOKUP(Table_Sales[[#This Row],[Product Name]],Inventory!D:D,Inventory!F:F)&gt;0),I165*_xlfn.XLOOKUP(Table_Sales[[#This Row],[Product Name]],Inventory!D:D,Inventory!F:F)," ")</f>
        <v xml:space="preserve"> </v>
      </c>
      <c r="M16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66" spans="3:13" x14ac:dyDescent="0.35">
      <c r="C166" s="13"/>
      <c r="D166" s="12" t="s">
        <v>253</v>
      </c>
      <c r="G166" s="14" t="str">
        <f>_xlfn.XLOOKUP(Table_Sales[[#This Row],[Product Name]],Table6[Prodcuts],Table6[Product ID]," ")</f>
        <v xml:space="preserve"> </v>
      </c>
      <c r="K16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66" s="16" t="str">
        <f>IF(AND(Table_Sales[[#This Row],[Quantity Sold]]&gt;0,_xlfn.XLOOKUP(Table_Sales[[#This Row],[Product Name]],Inventory!D:D,Inventory!F:F)&gt;0),I166*_xlfn.XLOOKUP(Table_Sales[[#This Row],[Product Name]],Inventory!D:D,Inventory!F:F)," ")</f>
        <v xml:space="preserve"> </v>
      </c>
      <c r="M16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67" spans="3:13" x14ac:dyDescent="0.35">
      <c r="C167" s="13"/>
      <c r="D167" s="12" t="s">
        <v>254</v>
      </c>
      <c r="G167" s="14" t="str">
        <f>_xlfn.XLOOKUP(Table_Sales[[#This Row],[Product Name]],Table6[Prodcuts],Table6[Product ID]," ")</f>
        <v xml:space="preserve"> </v>
      </c>
      <c r="K16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67" s="16" t="str">
        <f>IF(AND(Table_Sales[[#This Row],[Quantity Sold]]&gt;0,_xlfn.XLOOKUP(Table_Sales[[#This Row],[Product Name]],Inventory!D:D,Inventory!F:F)&gt;0),I167*_xlfn.XLOOKUP(Table_Sales[[#This Row],[Product Name]],Inventory!D:D,Inventory!F:F)," ")</f>
        <v xml:space="preserve"> </v>
      </c>
      <c r="M16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68" spans="3:13" x14ac:dyDescent="0.35">
      <c r="C168" s="13"/>
      <c r="D168" s="12" t="s">
        <v>255</v>
      </c>
      <c r="G168" s="14" t="str">
        <f>_xlfn.XLOOKUP(Table_Sales[[#This Row],[Product Name]],Table6[Prodcuts],Table6[Product ID]," ")</f>
        <v xml:space="preserve"> </v>
      </c>
      <c r="K16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68" s="16" t="str">
        <f>IF(AND(Table_Sales[[#This Row],[Quantity Sold]]&gt;0,_xlfn.XLOOKUP(Table_Sales[[#This Row],[Product Name]],Inventory!D:D,Inventory!F:F)&gt;0),I168*_xlfn.XLOOKUP(Table_Sales[[#This Row],[Product Name]],Inventory!D:D,Inventory!F:F)," ")</f>
        <v xml:space="preserve"> </v>
      </c>
      <c r="M16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69" spans="3:13" x14ac:dyDescent="0.35">
      <c r="C169" s="13"/>
      <c r="D169" s="12" t="s">
        <v>256</v>
      </c>
      <c r="G169" s="14" t="str">
        <f>_xlfn.XLOOKUP(Table_Sales[[#This Row],[Product Name]],Table6[Prodcuts],Table6[Product ID]," ")</f>
        <v xml:space="preserve"> </v>
      </c>
      <c r="K16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69" s="16" t="str">
        <f>IF(AND(Table_Sales[[#This Row],[Quantity Sold]]&gt;0,_xlfn.XLOOKUP(Table_Sales[[#This Row],[Product Name]],Inventory!D:D,Inventory!F:F)&gt;0),I169*_xlfn.XLOOKUP(Table_Sales[[#This Row],[Product Name]],Inventory!D:D,Inventory!F:F)," ")</f>
        <v xml:space="preserve"> </v>
      </c>
      <c r="M16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70" spans="3:13" x14ac:dyDescent="0.35">
      <c r="C170" s="13"/>
      <c r="D170" s="12" t="s">
        <v>257</v>
      </c>
      <c r="G170" s="14" t="str">
        <f>_xlfn.XLOOKUP(Table_Sales[[#This Row],[Product Name]],Table6[Prodcuts],Table6[Product ID]," ")</f>
        <v xml:space="preserve"> </v>
      </c>
      <c r="K17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70" s="16" t="str">
        <f>IF(AND(Table_Sales[[#This Row],[Quantity Sold]]&gt;0,_xlfn.XLOOKUP(Table_Sales[[#This Row],[Product Name]],Inventory!D:D,Inventory!F:F)&gt;0),I170*_xlfn.XLOOKUP(Table_Sales[[#This Row],[Product Name]],Inventory!D:D,Inventory!F:F)," ")</f>
        <v xml:space="preserve"> </v>
      </c>
      <c r="M17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71" spans="3:13" x14ac:dyDescent="0.35">
      <c r="C171" s="13"/>
      <c r="D171" s="12" t="s">
        <v>258</v>
      </c>
      <c r="G171" s="14" t="str">
        <f>_xlfn.XLOOKUP(Table_Sales[[#This Row],[Product Name]],Table6[Prodcuts],Table6[Product ID]," ")</f>
        <v xml:space="preserve"> </v>
      </c>
      <c r="K17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71" s="16" t="str">
        <f>IF(AND(Table_Sales[[#This Row],[Quantity Sold]]&gt;0,_xlfn.XLOOKUP(Table_Sales[[#This Row],[Product Name]],Inventory!D:D,Inventory!F:F)&gt;0),I171*_xlfn.XLOOKUP(Table_Sales[[#This Row],[Product Name]],Inventory!D:D,Inventory!F:F)," ")</f>
        <v xml:space="preserve"> </v>
      </c>
      <c r="M17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72" spans="3:13" x14ac:dyDescent="0.35">
      <c r="C172" s="13"/>
      <c r="D172" s="12" t="s">
        <v>259</v>
      </c>
      <c r="G172" s="14" t="str">
        <f>_xlfn.XLOOKUP(Table_Sales[[#This Row],[Product Name]],Table6[Prodcuts],Table6[Product ID]," ")</f>
        <v xml:space="preserve"> </v>
      </c>
      <c r="K17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72" s="16" t="str">
        <f>IF(AND(Table_Sales[[#This Row],[Quantity Sold]]&gt;0,_xlfn.XLOOKUP(Table_Sales[[#This Row],[Product Name]],Inventory!D:D,Inventory!F:F)&gt;0),I172*_xlfn.XLOOKUP(Table_Sales[[#This Row],[Product Name]],Inventory!D:D,Inventory!F:F)," ")</f>
        <v xml:space="preserve"> </v>
      </c>
      <c r="M17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73" spans="3:13" x14ac:dyDescent="0.35">
      <c r="C173" s="13"/>
      <c r="D173" s="12" t="s">
        <v>260</v>
      </c>
      <c r="G173" s="14" t="str">
        <f>_xlfn.XLOOKUP(Table_Sales[[#This Row],[Product Name]],Table6[Prodcuts],Table6[Product ID]," ")</f>
        <v xml:space="preserve"> </v>
      </c>
      <c r="K17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73" s="16" t="str">
        <f>IF(AND(Table_Sales[[#This Row],[Quantity Sold]]&gt;0,_xlfn.XLOOKUP(Table_Sales[[#This Row],[Product Name]],Inventory!D:D,Inventory!F:F)&gt;0),I173*_xlfn.XLOOKUP(Table_Sales[[#This Row],[Product Name]],Inventory!D:D,Inventory!F:F)," ")</f>
        <v xml:space="preserve"> </v>
      </c>
      <c r="M17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74" spans="3:13" x14ac:dyDescent="0.35">
      <c r="C174" s="13"/>
      <c r="D174" s="12" t="s">
        <v>261</v>
      </c>
      <c r="G174" s="14" t="str">
        <f>_xlfn.XLOOKUP(Table_Sales[[#This Row],[Product Name]],Table6[Prodcuts],Table6[Product ID]," ")</f>
        <v xml:space="preserve"> </v>
      </c>
      <c r="K17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74" s="16" t="str">
        <f>IF(AND(Table_Sales[[#This Row],[Quantity Sold]]&gt;0,_xlfn.XLOOKUP(Table_Sales[[#This Row],[Product Name]],Inventory!D:D,Inventory!F:F)&gt;0),I174*_xlfn.XLOOKUP(Table_Sales[[#This Row],[Product Name]],Inventory!D:D,Inventory!F:F)," ")</f>
        <v xml:space="preserve"> </v>
      </c>
      <c r="M17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75" spans="3:13" x14ac:dyDescent="0.35">
      <c r="C175" s="13"/>
      <c r="D175" s="12" t="s">
        <v>262</v>
      </c>
      <c r="G175" s="14" t="str">
        <f>_xlfn.XLOOKUP(Table_Sales[[#This Row],[Product Name]],Table6[Prodcuts],Table6[Product ID]," ")</f>
        <v xml:space="preserve"> </v>
      </c>
      <c r="K17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75" s="16" t="str">
        <f>IF(AND(Table_Sales[[#This Row],[Quantity Sold]]&gt;0,_xlfn.XLOOKUP(Table_Sales[[#This Row],[Product Name]],Inventory!D:D,Inventory!F:F)&gt;0),I175*_xlfn.XLOOKUP(Table_Sales[[#This Row],[Product Name]],Inventory!D:D,Inventory!F:F)," ")</f>
        <v xml:space="preserve"> </v>
      </c>
      <c r="M17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76" spans="3:13" x14ac:dyDescent="0.35">
      <c r="C176" s="13"/>
      <c r="D176" s="12" t="s">
        <v>263</v>
      </c>
      <c r="G176" s="14" t="str">
        <f>_xlfn.XLOOKUP(Table_Sales[[#This Row],[Product Name]],Table6[Prodcuts],Table6[Product ID]," ")</f>
        <v xml:space="preserve"> </v>
      </c>
      <c r="K17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76" s="16" t="str">
        <f>IF(AND(Table_Sales[[#This Row],[Quantity Sold]]&gt;0,_xlfn.XLOOKUP(Table_Sales[[#This Row],[Product Name]],Inventory!D:D,Inventory!F:F)&gt;0),I176*_xlfn.XLOOKUP(Table_Sales[[#This Row],[Product Name]],Inventory!D:D,Inventory!F:F)," ")</f>
        <v xml:space="preserve"> </v>
      </c>
      <c r="M17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77" spans="3:13" x14ac:dyDescent="0.35">
      <c r="C177" s="13"/>
      <c r="D177" s="12" t="s">
        <v>264</v>
      </c>
      <c r="G177" s="14" t="str">
        <f>_xlfn.XLOOKUP(Table_Sales[[#This Row],[Product Name]],Table6[Prodcuts],Table6[Product ID]," ")</f>
        <v xml:space="preserve"> </v>
      </c>
      <c r="K17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77" s="16" t="str">
        <f>IF(AND(Table_Sales[[#This Row],[Quantity Sold]]&gt;0,_xlfn.XLOOKUP(Table_Sales[[#This Row],[Product Name]],Inventory!D:D,Inventory!F:F)&gt;0),I177*_xlfn.XLOOKUP(Table_Sales[[#This Row],[Product Name]],Inventory!D:D,Inventory!F:F)," ")</f>
        <v xml:space="preserve"> </v>
      </c>
      <c r="M17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78" spans="3:13" x14ac:dyDescent="0.35">
      <c r="C178" s="13"/>
      <c r="D178" s="12" t="s">
        <v>265</v>
      </c>
      <c r="G178" s="14" t="str">
        <f>_xlfn.XLOOKUP(Table_Sales[[#This Row],[Product Name]],Table6[Prodcuts],Table6[Product ID]," ")</f>
        <v xml:space="preserve"> </v>
      </c>
      <c r="K17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78" s="16" t="str">
        <f>IF(AND(Table_Sales[[#This Row],[Quantity Sold]]&gt;0,_xlfn.XLOOKUP(Table_Sales[[#This Row],[Product Name]],Inventory!D:D,Inventory!F:F)&gt;0),I178*_xlfn.XLOOKUP(Table_Sales[[#This Row],[Product Name]],Inventory!D:D,Inventory!F:F)," ")</f>
        <v xml:space="preserve"> </v>
      </c>
      <c r="M17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79" spans="3:13" x14ac:dyDescent="0.35">
      <c r="C179" s="13"/>
      <c r="D179" s="12" t="s">
        <v>266</v>
      </c>
      <c r="G179" s="14" t="str">
        <f>_xlfn.XLOOKUP(Table_Sales[[#This Row],[Product Name]],Table6[Prodcuts],Table6[Product ID]," ")</f>
        <v xml:space="preserve"> </v>
      </c>
      <c r="K17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79" s="16" t="str">
        <f>IF(AND(Table_Sales[[#This Row],[Quantity Sold]]&gt;0,_xlfn.XLOOKUP(Table_Sales[[#This Row],[Product Name]],Inventory!D:D,Inventory!F:F)&gt;0),I179*_xlfn.XLOOKUP(Table_Sales[[#This Row],[Product Name]],Inventory!D:D,Inventory!F:F)," ")</f>
        <v xml:space="preserve"> </v>
      </c>
      <c r="M17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80" spans="3:13" x14ac:dyDescent="0.35">
      <c r="C180" s="13"/>
      <c r="D180" s="12" t="s">
        <v>267</v>
      </c>
      <c r="G180" s="14" t="str">
        <f>_xlfn.XLOOKUP(Table_Sales[[#This Row],[Product Name]],Table6[Prodcuts],Table6[Product ID]," ")</f>
        <v xml:space="preserve"> </v>
      </c>
      <c r="K18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80" s="16" t="str">
        <f>IF(AND(Table_Sales[[#This Row],[Quantity Sold]]&gt;0,_xlfn.XLOOKUP(Table_Sales[[#This Row],[Product Name]],Inventory!D:D,Inventory!F:F)&gt;0),I180*_xlfn.XLOOKUP(Table_Sales[[#This Row],[Product Name]],Inventory!D:D,Inventory!F:F)," ")</f>
        <v xml:space="preserve"> </v>
      </c>
      <c r="M18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81" spans="3:13" x14ac:dyDescent="0.35">
      <c r="C181" s="13"/>
      <c r="D181" s="12" t="s">
        <v>268</v>
      </c>
      <c r="G181" s="14" t="str">
        <f>_xlfn.XLOOKUP(Table_Sales[[#This Row],[Product Name]],Table6[Prodcuts],Table6[Product ID]," ")</f>
        <v xml:space="preserve"> </v>
      </c>
      <c r="K18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81" s="16" t="str">
        <f>IF(AND(Table_Sales[[#This Row],[Quantity Sold]]&gt;0,_xlfn.XLOOKUP(Table_Sales[[#This Row],[Product Name]],Inventory!D:D,Inventory!F:F)&gt;0),I181*_xlfn.XLOOKUP(Table_Sales[[#This Row],[Product Name]],Inventory!D:D,Inventory!F:F)," ")</f>
        <v xml:space="preserve"> </v>
      </c>
      <c r="M18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82" spans="3:13" x14ac:dyDescent="0.35">
      <c r="C182" s="13"/>
      <c r="D182" s="12" t="s">
        <v>269</v>
      </c>
      <c r="G182" s="14" t="str">
        <f>_xlfn.XLOOKUP(Table_Sales[[#This Row],[Product Name]],Table6[Prodcuts],Table6[Product ID]," ")</f>
        <v xml:space="preserve"> </v>
      </c>
      <c r="K18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82" s="16" t="str">
        <f>IF(AND(Table_Sales[[#This Row],[Quantity Sold]]&gt;0,_xlfn.XLOOKUP(Table_Sales[[#This Row],[Product Name]],Inventory!D:D,Inventory!F:F)&gt;0),I182*_xlfn.XLOOKUP(Table_Sales[[#This Row],[Product Name]],Inventory!D:D,Inventory!F:F)," ")</f>
        <v xml:space="preserve"> </v>
      </c>
      <c r="M18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83" spans="3:13" x14ac:dyDescent="0.35">
      <c r="C183" s="13"/>
      <c r="D183" s="12" t="s">
        <v>270</v>
      </c>
      <c r="G183" s="14" t="str">
        <f>_xlfn.XLOOKUP(Table_Sales[[#This Row],[Product Name]],Table6[Prodcuts],Table6[Product ID]," ")</f>
        <v xml:space="preserve"> </v>
      </c>
      <c r="K18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83" s="16" t="str">
        <f>IF(AND(Table_Sales[[#This Row],[Quantity Sold]]&gt;0,_xlfn.XLOOKUP(Table_Sales[[#This Row],[Product Name]],Inventory!D:D,Inventory!F:F)&gt;0),I183*_xlfn.XLOOKUP(Table_Sales[[#This Row],[Product Name]],Inventory!D:D,Inventory!F:F)," ")</f>
        <v xml:space="preserve"> </v>
      </c>
      <c r="M18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84" spans="3:13" x14ac:dyDescent="0.35">
      <c r="C184" s="13"/>
      <c r="D184" s="12" t="s">
        <v>271</v>
      </c>
      <c r="G184" s="14" t="str">
        <f>_xlfn.XLOOKUP(Table_Sales[[#This Row],[Product Name]],Table6[Prodcuts],Table6[Product ID]," ")</f>
        <v xml:space="preserve"> </v>
      </c>
      <c r="K18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84" s="16" t="str">
        <f>IF(AND(Table_Sales[[#This Row],[Quantity Sold]]&gt;0,_xlfn.XLOOKUP(Table_Sales[[#This Row],[Product Name]],Inventory!D:D,Inventory!F:F)&gt;0),I184*_xlfn.XLOOKUP(Table_Sales[[#This Row],[Product Name]],Inventory!D:D,Inventory!F:F)," ")</f>
        <v xml:space="preserve"> </v>
      </c>
      <c r="M18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85" spans="3:13" x14ac:dyDescent="0.35">
      <c r="C185" s="13"/>
      <c r="D185" s="12" t="s">
        <v>272</v>
      </c>
      <c r="G185" s="14" t="str">
        <f>_xlfn.XLOOKUP(Table_Sales[[#This Row],[Product Name]],Table6[Prodcuts],Table6[Product ID]," ")</f>
        <v xml:space="preserve"> </v>
      </c>
      <c r="K18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85" s="16" t="str">
        <f>IF(AND(Table_Sales[[#This Row],[Quantity Sold]]&gt;0,_xlfn.XLOOKUP(Table_Sales[[#This Row],[Product Name]],Inventory!D:D,Inventory!F:F)&gt;0),I185*_xlfn.XLOOKUP(Table_Sales[[#This Row],[Product Name]],Inventory!D:D,Inventory!F:F)," ")</f>
        <v xml:space="preserve"> </v>
      </c>
      <c r="M18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86" spans="3:13" x14ac:dyDescent="0.35">
      <c r="C186" s="13"/>
      <c r="D186" s="12" t="s">
        <v>273</v>
      </c>
      <c r="G186" s="14" t="str">
        <f>_xlfn.XLOOKUP(Table_Sales[[#This Row],[Product Name]],Table6[Prodcuts],Table6[Product ID]," ")</f>
        <v xml:space="preserve"> </v>
      </c>
      <c r="K18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86" s="16" t="str">
        <f>IF(AND(Table_Sales[[#This Row],[Quantity Sold]]&gt;0,_xlfn.XLOOKUP(Table_Sales[[#This Row],[Product Name]],Inventory!D:D,Inventory!F:F)&gt;0),I186*_xlfn.XLOOKUP(Table_Sales[[#This Row],[Product Name]],Inventory!D:D,Inventory!F:F)," ")</f>
        <v xml:space="preserve"> </v>
      </c>
      <c r="M18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87" spans="3:13" x14ac:dyDescent="0.35">
      <c r="C187" s="13"/>
      <c r="D187" s="12" t="s">
        <v>274</v>
      </c>
      <c r="G187" s="14" t="str">
        <f>_xlfn.XLOOKUP(Table_Sales[[#This Row],[Product Name]],Table6[Prodcuts],Table6[Product ID]," ")</f>
        <v xml:space="preserve"> </v>
      </c>
      <c r="K18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87" s="16" t="str">
        <f>IF(AND(Table_Sales[[#This Row],[Quantity Sold]]&gt;0,_xlfn.XLOOKUP(Table_Sales[[#This Row],[Product Name]],Inventory!D:D,Inventory!F:F)&gt;0),I187*_xlfn.XLOOKUP(Table_Sales[[#This Row],[Product Name]],Inventory!D:D,Inventory!F:F)," ")</f>
        <v xml:space="preserve"> </v>
      </c>
      <c r="M18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88" spans="3:13" x14ac:dyDescent="0.35">
      <c r="C188" s="13"/>
      <c r="D188" s="12" t="s">
        <v>275</v>
      </c>
      <c r="G188" s="14" t="str">
        <f>_xlfn.XLOOKUP(Table_Sales[[#This Row],[Product Name]],Table6[Prodcuts],Table6[Product ID]," ")</f>
        <v xml:space="preserve"> </v>
      </c>
      <c r="K18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88" s="16" t="str">
        <f>IF(AND(Table_Sales[[#This Row],[Quantity Sold]]&gt;0,_xlfn.XLOOKUP(Table_Sales[[#This Row],[Product Name]],Inventory!D:D,Inventory!F:F)&gt;0),I188*_xlfn.XLOOKUP(Table_Sales[[#This Row],[Product Name]],Inventory!D:D,Inventory!F:F)," ")</f>
        <v xml:space="preserve"> </v>
      </c>
      <c r="M18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89" spans="3:13" x14ac:dyDescent="0.35">
      <c r="C189" s="13"/>
      <c r="D189" s="12" t="s">
        <v>276</v>
      </c>
      <c r="G189" s="14" t="str">
        <f>_xlfn.XLOOKUP(Table_Sales[[#This Row],[Product Name]],Table6[Prodcuts],Table6[Product ID]," ")</f>
        <v xml:space="preserve"> </v>
      </c>
      <c r="K18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89" s="16" t="str">
        <f>IF(AND(Table_Sales[[#This Row],[Quantity Sold]]&gt;0,_xlfn.XLOOKUP(Table_Sales[[#This Row],[Product Name]],Inventory!D:D,Inventory!F:F)&gt;0),I189*_xlfn.XLOOKUP(Table_Sales[[#This Row],[Product Name]],Inventory!D:D,Inventory!F:F)," ")</f>
        <v xml:space="preserve"> </v>
      </c>
      <c r="M18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90" spans="3:13" x14ac:dyDescent="0.35">
      <c r="C190" s="13"/>
      <c r="D190" s="12" t="s">
        <v>277</v>
      </c>
      <c r="G190" s="14" t="str">
        <f>_xlfn.XLOOKUP(Table_Sales[[#This Row],[Product Name]],Table6[Prodcuts],Table6[Product ID]," ")</f>
        <v xml:space="preserve"> </v>
      </c>
      <c r="K19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90" s="16" t="str">
        <f>IF(AND(Table_Sales[[#This Row],[Quantity Sold]]&gt;0,_xlfn.XLOOKUP(Table_Sales[[#This Row],[Product Name]],Inventory!D:D,Inventory!F:F)&gt;0),I190*_xlfn.XLOOKUP(Table_Sales[[#This Row],[Product Name]],Inventory!D:D,Inventory!F:F)," ")</f>
        <v xml:space="preserve"> </v>
      </c>
      <c r="M19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91" spans="3:13" x14ac:dyDescent="0.35">
      <c r="C191" s="13"/>
      <c r="D191" s="12" t="s">
        <v>278</v>
      </c>
      <c r="G191" s="14" t="str">
        <f>_xlfn.XLOOKUP(Table_Sales[[#This Row],[Product Name]],Table6[Prodcuts],Table6[Product ID]," ")</f>
        <v xml:space="preserve"> </v>
      </c>
      <c r="K19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91" s="16" t="str">
        <f>IF(AND(Table_Sales[[#This Row],[Quantity Sold]]&gt;0,_xlfn.XLOOKUP(Table_Sales[[#This Row],[Product Name]],Inventory!D:D,Inventory!F:F)&gt;0),I191*_xlfn.XLOOKUP(Table_Sales[[#This Row],[Product Name]],Inventory!D:D,Inventory!F:F)," ")</f>
        <v xml:space="preserve"> </v>
      </c>
      <c r="M191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92" spans="3:13" x14ac:dyDescent="0.35">
      <c r="C192" s="13"/>
      <c r="D192" s="12" t="s">
        <v>279</v>
      </c>
      <c r="G192" s="14" t="str">
        <f>_xlfn.XLOOKUP(Table_Sales[[#This Row],[Product Name]],Table6[Prodcuts],Table6[Product ID]," ")</f>
        <v xml:space="preserve"> </v>
      </c>
      <c r="K192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92" s="16" t="str">
        <f>IF(AND(Table_Sales[[#This Row],[Quantity Sold]]&gt;0,_xlfn.XLOOKUP(Table_Sales[[#This Row],[Product Name]],Inventory!D:D,Inventory!F:F)&gt;0),I192*_xlfn.XLOOKUP(Table_Sales[[#This Row],[Product Name]],Inventory!D:D,Inventory!F:F)," ")</f>
        <v xml:space="preserve"> </v>
      </c>
      <c r="M192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93" spans="3:13" x14ac:dyDescent="0.35">
      <c r="C193" s="13"/>
      <c r="D193" s="12" t="s">
        <v>280</v>
      </c>
      <c r="G193" s="14" t="str">
        <f>_xlfn.XLOOKUP(Table_Sales[[#This Row],[Product Name]],Table6[Prodcuts],Table6[Product ID]," ")</f>
        <v xml:space="preserve"> </v>
      </c>
      <c r="K193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93" s="16" t="str">
        <f>IF(AND(Table_Sales[[#This Row],[Quantity Sold]]&gt;0,_xlfn.XLOOKUP(Table_Sales[[#This Row],[Product Name]],Inventory!D:D,Inventory!F:F)&gt;0),I193*_xlfn.XLOOKUP(Table_Sales[[#This Row],[Product Name]],Inventory!D:D,Inventory!F:F)," ")</f>
        <v xml:space="preserve"> </v>
      </c>
      <c r="M193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94" spans="3:13" x14ac:dyDescent="0.35">
      <c r="C194" s="13"/>
      <c r="D194" s="12" t="s">
        <v>281</v>
      </c>
      <c r="G194" s="14" t="str">
        <f>_xlfn.XLOOKUP(Table_Sales[[#This Row],[Product Name]],Table6[Prodcuts],Table6[Product ID]," ")</f>
        <v xml:space="preserve"> </v>
      </c>
      <c r="K194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94" s="16" t="str">
        <f>IF(AND(Table_Sales[[#This Row],[Quantity Sold]]&gt;0,_xlfn.XLOOKUP(Table_Sales[[#This Row],[Product Name]],Inventory!D:D,Inventory!F:F)&gt;0),I194*_xlfn.XLOOKUP(Table_Sales[[#This Row],[Product Name]],Inventory!D:D,Inventory!F:F)," ")</f>
        <v xml:space="preserve"> </v>
      </c>
      <c r="M194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95" spans="3:13" x14ac:dyDescent="0.35">
      <c r="C195" s="13"/>
      <c r="D195" s="12" t="s">
        <v>282</v>
      </c>
      <c r="G195" s="14" t="str">
        <f>_xlfn.XLOOKUP(Table_Sales[[#This Row],[Product Name]],Table6[Prodcuts],Table6[Product ID]," ")</f>
        <v xml:space="preserve"> </v>
      </c>
      <c r="K195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95" s="16" t="str">
        <f>IF(AND(Table_Sales[[#This Row],[Quantity Sold]]&gt;0,_xlfn.XLOOKUP(Table_Sales[[#This Row],[Product Name]],Inventory!D:D,Inventory!F:F)&gt;0),I195*_xlfn.XLOOKUP(Table_Sales[[#This Row],[Product Name]],Inventory!D:D,Inventory!F:F)," ")</f>
        <v xml:space="preserve"> </v>
      </c>
      <c r="M195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96" spans="3:13" x14ac:dyDescent="0.35">
      <c r="C196" s="13"/>
      <c r="D196" s="12" t="s">
        <v>283</v>
      </c>
      <c r="G196" s="14" t="str">
        <f>_xlfn.XLOOKUP(Table_Sales[[#This Row],[Product Name]],Table6[Prodcuts],Table6[Product ID]," ")</f>
        <v xml:space="preserve"> </v>
      </c>
      <c r="K196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96" s="16" t="str">
        <f>IF(AND(Table_Sales[[#This Row],[Quantity Sold]]&gt;0,_xlfn.XLOOKUP(Table_Sales[[#This Row],[Product Name]],Inventory!D:D,Inventory!F:F)&gt;0),I196*_xlfn.XLOOKUP(Table_Sales[[#This Row],[Product Name]],Inventory!D:D,Inventory!F:F)," ")</f>
        <v xml:space="preserve"> </v>
      </c>
      <c r="M196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97" spans="3:13" x14ac:dyDescent="0.35">
      <c r="C197" s="13"/>
      <c r="D197" s="12" t="s">
        <v>284</v>
      </c>
      <c r="G197" s="14" t="str">
        <f>_xlfn.XLOOKUP(Table_Sales[[#This Row],[Product Name]],Table6[Prodcuts],Table6[Product ID]," ")</f>
        <v xml:space="preserve"> </v>
      </c>
      <c r="K197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97" s="16" t="str">
        <f>IF(AND(Table_Sales[[#This Row],[Quantity Sold]]&gt;0,_xlfn.XLOOKUP(Table_Sales[[#This Row],[Product Name]],Inventory!D:D,Inventory!F:F)&gt;0),I197*_xlfn.XLOOKUP(Table_Sales[[#This Row],[Product Name]],Inventory!D:D,Inventory!F:F)," ")</f>
        <v xml:space="preserve"> </v>
      </c>
      <c r="M197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98" spans="3:13" x14ac:dyDescent="0.35">
      <c r="C198" s="13"/>
      <c r="D198" s="12" t="s">
        <v>285</v>
      </c>
      <c r="G198" s="14" t="str">
        <f>_xlfn.XLOOKUP(Table_Sales[[#This Row],[Product Name]],Table6[Prodcuts],Table6[Product ID]," ")</f>
        <v xml:space="preserve"> </v>
      </c>
      <c r="K198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98" s="16" t="str">
        <f>IF(AND(Table_Sales[[#This Row],[Quantity Sold]]&gt;0,_xlfn.XLOOKUP(Table_Sales[[#This Row],[Product Name]],Inventory!D:D,Inventory!F:F)&gt;0),I198*_xlfn.XLOOKUP(Table_Sales[[#This Row],[Product Name]],Inventory!D:D,Inventory!F:F)," ")</f>
        <v xml:space="preserve"> </v>
      </c>
      <c r="M198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199" spans="3:13" x14ac:dyDescent="0.35">
      <c r="C199" s="13"/>
      <c r="D199" s="12" t="s">
        <v>286</v>
      </c>
      <c r="G199" s="14" t="str">
        <f>_xlfn.XLOOKUP(Table_Sales[[#This Row],[Product Name]],Table6[Prodcuts],Table6[Product ID]," ")</f>
        <v xml:space="preserve"> </v>
      </c>
      <c r="K199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199" s="16" t="str">
        <f>IF(AND(Table_Sales[[#This Row],[Quantity Sold]]&gt;0,_xlfn.XLOOKUP(Table_Sales[[#This Row],[Product Name]],Inventory!D:D,Inventory!F:F)&gt;0),I199*_xlfn.XLOOKUP(Table_Sales[[#This Row],[Product Name]],Inventory!D:D,Inventory!F:F)," ")</f>
        <v xml:space="preserve"> </v>
      </c>
      <c r="M199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200" spans="3:13" x14ac:dyDescent="0.35">
      <c r="C200" s="13"/>
      <c r="D200" s="12" t="s">
        <v>287</v>
      </c>
      <c r="G200" s="14" t="str">
        <f>_xlfn.XLOOKUP(Table_Sales[[#This Row],[Product Name]],Table6[Prodcuts],Table6[Product ID]," ")</f>
        <v xml:space="preserve"> </v>
      </c>
      <c r="K200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200" s="16" t="str">
        <f>IF(AND(Table_Sales[[#This Row],[Quantity Sold]]&gt;0,_xlfn.XLOOKUP(Table_Sales[[#This Row],[Product Name]],Inventory!D:D,Inventory!F:F)&gt;0),I200*_xlfn.XLOOKUP(Table_Sales[[#This Row],[Product Name]],Inventory!D:D,Inventory!F:F)," ")</f>
        <v xml:space="preserve"> </v>
      </c>
      <c r="M200" s="14" t="str">
        <f>IFERROR(
IF(AND(Table_Sales[[#This Row],[Revenue]]&gt;0,Table_Sales[[#This Row],[Cost of Goods Sold]]&gt;0),
Table_Sales[[#This Row],[Revenue]]-Table_Sales[[#This Row],[Cost of Goods Sold]],
""),
"")</f>
        <v/>
      </c>
    </row>
    <row r="201" spans="3:13" x14ac:dyDescent="0.35">
      <c r="C201" s="13"/>
      <c r="D201" s="12" t="s">
        <v>288</v>
      </c>
      <c r="G201" s="14" t="str">
        <f>_xlfn.XLOOKUP(Table_Sales[[#This Row],[Product Name]],Table6[Prodcuts],Table6[Product ID]," ")</f>
        <v xml:space="preserve"> </v>
      </c>
      <c r="K201" s="16" t="str">
        <f>IF(AND(Table_Sales[[#This Row],[Quantity Sold]]&gt;0,Table_Sales[[#This Row],[Selling Price]]&gt;0),Table_Sales[[#This Row],[Quantity Sold]]*Table_Sales[[#This Row],[Selling Price]]," ")</f>
        <v xml:space="preserve"> </v>
      </c>
      <c r="L201" s="16" t="str">
        <f>IF(AND(Table_Sales[[#This Row],[Quantity Sold]]&gt;0,_xlfn.XLOOKUP(Table_Sales[[#This Row],[Product Name]],Inventory!D:D,Inventory!F:F)&gt;0),I201*_xlfn.XLOOKUP(Table_Sales[[#This Row],[Product Name]],Inventory!D:D,Inventory!F:F)," ")</f>
        <v xml:space="preserve"> </v>
      </c>
      <c r="M201" s="14" t="str">
        <f>IFERROR(
IF(AND(Table_Sales[[#This Row],[Revenue]]&gt;0,Table_Sales[[#This Row],[Cost of Goods Sold]]&gt;0),
Table_Sales[[#This Row],[Revenue]]-Table_Sales[[#This Row],[Cost of Goods Sold]],
""),
"")</f>
        <v/>
      </c>
    </row>
  </sheetData>
  <sheetProtection algorithmName="SHA-512" hashValue="6ueKCF+fnjoT7vX0Y8Uivt7Wpp+9TOK8NyveNU/8HQiEUD1gR3hPj2mDnSy6zak4L1kaqxtpfiwNYUXCYKKuBA==" saltValue="/4D0GybUIcxQEziFe4eMDg==" spinCount="100000" sheet="1" objects="1" scenarios="1"/>
  <phoneticPr fontId="2" type="noConversion"/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C4D3F7-1220-4FB7-A1A1-EB3DD762D364}">
          <x14:formula1>
            <xm:f>Inventory!$S$3:$S$12</xm:f>
          </x14:formula1>
          <xm:sqref>H2:H201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F250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8.7265625" style="27"/>
    <col min="3" max="3" width="10.453125" style="1" bestFit="1" customWidth="1"/>
    <col min="4" max="4" width="19.36328125" style="1" bestFit="1" customWidth="1"/>
    <col min="5" max="5" width="19.1796875" style="1" bestFit="1" customWidth="1"/>
    <col min="6" max="6" width="9.90625" style="1" bestFit="1" customWidth="1"/>
    <col min="7" max="16384" width="8.7265625" style="1"/>
  </cols>
  <sheetData>
    <row r="1" spans="1:6" ht="21.5" customHeight="1" x14ac:dyDescent="0.35">
      <c r="A1" s="28"/>
      <c r="B1" s="28"/>
      <c r="C1" s="2" t="s">
        <v>6</v>
      </c>
      <c r="D1" s="2" t="s">
        <v>23</v>
      </c>
      <c r="E1" s="2" t="s">
        <v>24</v>
      </c>
      <c r="F1" s="2" t="s">
        <v>25</v>
      </c>
    </row>
    <row r="2" spans="1:6" x14ac:dyDescent="0.35">
      <c r="A2" s="28"/>
      <c r="B2" s="28"/>
      <c r="C2" s="1" t="s">
        <v>11</v>
      </c>
      <c r="D2" s="1" t="s">
        <v>292</v>
      </c>
      <c r="E2" s="1" t="s">
        <v>293</v>
      </c>
      <c r="F2" s="1">
        <v>250</v>
      </c>
    </row>
    <row r="3" spans="1:6" x14ac:dyDescent="0.35">
      <c r="A3" s="28"/>
      <c r="B3" s="28"/>
    </row>
    <row r="4" spans="1:6" x14ac:dyDescent="0.35">
      <c r="A4" s="28"/>
      <c r="B4" s="28"/>
    </row>
    <row r="5" spans="1:6" x14ac:dyDescent="0.35">
      <c r="A5" s="28"/>
      <c r="B5" s="28"/>
    </row>
    <row r="6" spans="1:6" x14ac:dyDescent="0.35">
      <c r="A6" s="28"/>
      <c r="B6" s="28"/>
    </row>
    <row r="7" spans="1:6" x14ac:dyDescent="0.35">
      <c r="A7" s="28"/>
      <c r="B7" s="28"/>
    </row>
    <row r="8" spans="1:6" x14ac:dyDescent="0.35">
      <c r="A8" s="28"/>
      <c r="B8" s="28"/>
    </row>
    <row r="9" spans="1:6" x14ac:dyDescent="0.35">
      <c r="A9" s="28"/>
      <c r="B9" s="28"/>
    </row>
    <row r="10" spans="1:6" x14ac:dyDescent="0.35">
      <c r="A10" s="28"/>
      <c r="B10" s="28"/>
    </row>
    <row r="11" spans="1:6" x14ac:dyDescent="0.35">
      <c r="A11" s="28"/>
      <c r="B11" s="28"/>
    </row>
    <row r="12" spans="1:6" x14ac:dyDescent="0.35">
      <c r="A12" s="28"/>
      <c r="B12" s="28"/>
    </row>
    <row r="13" spans="1:6" x14ac:dyDescent="0.35">
      <c r="A13" s="28"/>
      <c r="B13" s="28"/>
    </row>
    <row r="14" spans="1:6" x14ac:dyDescent="0.35">
      <c r="A14" s="28"/>
      <c r="B14" s="28"/>
    </row>
    <row r="15" spans="1:6" x14ac:dyDescent="0.35">
      <c r="A15" s="28"/>
      <c r="B15" s="28"/>
    </row>
    <row r="16" spans="1:6" x14ac:dyDescent="0.35">
      <c r="A16" s="28"/>
      <c r="B16" s="28"/>
    </row>
    <row r="17" spans="1:2" x14ac:dyDescent="0.35">
      <c r="A17" s="28"/>
      <c r="B17" s="28"/>
    </row>
    <row r="18" spans="1:2" x14ac:dyDescent="0.35">
      <c r="A18" s="28"/>
      <c r="B18" s="28"/>
    </row>
    <row r="19" spans="1:2" x14ac:dyDescent="0.35">
      <c r="A19" s="28"/>
      <c r="B19" s="28"/>
    </row>
    <row r="20" spans="1:2" x14ac:dyDescent="0.35">
      <c r="A20" s="28"/>
      <c r="B20" s="28"/>
    </row>
    <row r="21" spans="1:2" x14ac:dyDescent="0.35">
      <c r="A21" s="28"/>
      <c r="B21" s="28"/>
    </row>
    <row r="22" spans="1:2" x14ac:dyDescent="0.35">
      <c r="A22" s="28"/>
      <c r="B22" s="28"/>
    </row>
    <row r="23" spans="1:2" x14ac:dyDescent="0.35">
      <c r="A23" s="28"/>
      <c r="B23" s="28"/>
    </row>
    <row r="24" spans="1:2" x14ac:dyDescent="0.35">
      <c r="A24" s="28"/>
      <c r="B24" s="28"/>
    </row>
    <row r="25" spans="1:2" x14ac:dyDescent="0.35">
      <c r="A25" s="28"/>
      <c r="B25" s="28"/>
    </row>
    <row r="26" spans="1:2" x14ac:dyDescent="0.35">
      <c r="A26" s="28"/>
      <c r="B26" s="28"/>
    </row>
    <row r="27" spans="1:2" x14ac:dyDescent="0.35">
      <c r="A27" s="28"/>
      <c r="B27" s="28"/>
    </row>
    <row r="28" spans="1:2" x14ac:dyDescent="0.35">
      <c r="A28" s="28"/>
      <c r="B28" s="28"/>
    </row>
    <row r="29" spans="1:2" x14ac:dyDescent="0.35">
      <c r="A29" s="28"/>
      <c r="B29" s="28"/>
    </row>
    <row r="30" spans="1:2" x14ac:dyDescent="0.35">
      <c r="A30" s="28"/>
      <c r="B30" s="28"/>
    </row>
    <row r="31" spans="1:2" x14ac:dyDescent="0.35">
      <c r="A31" s="28"/>
      <c r="B31" s="28"/>
    </row>
    <row r="32" spans="1:2" x14ac:dyDescent="0.35">
      <c r="A32" s="28"/>
      <c r="B32" s="28"/>
    </row>
    <row r="33" spans="1:2" x14ac:dyDescent="0.35">
      <c r="A33" s="28"/>
      <c r="B33" s="28"/>
    </row>
    <row r="34" spans="1:2" x14ac:dyDescent="0.35">
      <c r="A34" s="28"/>
      <c r="B34" s="28"/>
    </row>
    <row r="35" spans="1:2" x14ac:dyDescent="0.35">
      <c r="A35" s="28"/>
      <c r="B35" s="28"/>
    </row>
    <row r="36" spans="1:2" x14ac:dyDescent="0.35">
      <c r="A36" s="28"/>
      <c r="B36" s="28"/>
    </row>
    <row r="37" spans="1:2" x14ac:dyDescent="0.35">
      <c r="A37" s="28"/>
      <c r="B37" s="28"/>
    </row>
    <row r="38" spans="1:2" x14ac:dyDescent="0.35">
      <c r="A38" s="28"/>
      <c r="B38" s="28"/>
    </row>
    <row r="39" spans="1:2" x14ac:dyDescent="0.35">
      <c r="A39" s="28"/>
      <c r="B39" s="28"/>
    </row>
    <row r="40" spans="1:2" x14ac:dyDescent="0.35">
      <c r="A40" s="28"/>
      <c r="B40" s="28"/>
    </row>
    <row r="41" spans="1:2" x14ac:dyDescent="0.35">
      <c r="A41" s="28"/>
      <c r="B41" s="28"/>
    </row>
    <row r="42" spans="1:2" x14ac:dyDescent="0.35">
      <c r="A42" s="28"/>
      <c r="B42" s="28"/>
    </row>
    <row r="43" spans="1:2" x14ac:dyDescent="0.35">
      <c r="A43" s="28"/>
      <c r="B43" s="28"/>
    </row>
    <row r="44" spans="1:2" x14ac:dyDescent="0.35">
      <c r="A44" s="28"/>
      <c r="B44" s="28"/>
    </row>
    <row r="45" spans="1:2" x14ac:dyDescent="0.35">
      <c r="A45" s="28"/>
      <c r="B45" s="28"/>
    </row>
    <row r="46" spans="1:2" x14ac:dyDescent="0.35">
      <c r="A46" s="28"/>
      <c r="B46" s="28"/>
    </row>
    <row r="47" spans="1:2" x14ac:dyDescent="0.35">
      <c r="A47" s="28"/>
      <c r="B47" s="28"/>
    </row>
    <row r="48" spans="1:2" x14ac:dyDescent="0.35">
      <c r="A48" s="28"/>
      <c r="B48" s="28"/>
    </row>
    <row r="49" spans="1:2" x14ac:dyDescent="0.35">
      <c r="A49" s="28"/>
      <c r="B49" s="28"/>
    </row>
    <row r="50" spans="1:2" x14ac:dyDescent="0.35">
      <c r="A50" s="28"/>
      <c r="B50" s="28"/>
    </row>
    <row r="51" spans="1:2" x14ac:dyDescent="0.35">
      <c r="A51" s="28"/>
      <c r="B51" s="28"/>
    </row>
    <row r="52" spans="1:2" x14ac:dyDescent="0.35">
      <c r="A52" s="28"/>
      <c r="B52" s="28"/>
    </row>
    <row r="53" spans="1:2" x14ac:dyDescent="0.35">
      <c r="A53" s="28"/>
      <c r="B53" s="28"/>
    </row>
    <row r="54" spans="1:2" x14ac:dyDescent="0.35">
      <c r="A54" s="28"/>
      <c r="B54" s="28"/>
    </row>
    <row r="55" spans="1:2" x14ac:dyDescent="0.35">
      <c r="A55" s="28"/>
      <c r="B55" s="28"/>
    </row>
    <row r="56" spans="1:2" x14ac:dyDescent="0.35">
      <c r="A56" s="28"/>
      <c r="B56" s="28"/>
    </row>
    <row r="57" spans="1:2" x14ac:dyDescent="0.35">
      <c r="A57" s="28"/>
      <c r="B57" s="28"/>
    </row>
    <row r="58" spans="1:2" x14ac:dyDescent="0.35">
      <c r="A58" s="28"/>
      <c r="B58" s="28"/>
    </row>
    <row r="59" spans="1:2" x14ac:dyDescent="0.35">
      <c r="A59" s="28"/>
      <c r="B59" s="28"/>
    </row>
    <row r="60" spans="1:2" x14ac:dyDescent="0.35">
      <c r="A60" s="28"/>
      <c r="B60" s="28"/>
    </row>
    <row r="61" spans="1:2" x14ac:dyDescent="0.35">
      <c r="A61" s="28"/>
      <c r="B61" s="28"/>
    </row>
    <row r="62" spans="1:2" x14ac:dyDescent="0.35">
      <c r="A62" s="28"/>
      <c r="B62" s="28"/>
    </row>
    <row r="63" spans="1:2" x14ac:dyDescent="0.35">
      <c r="A63" s="28"/>
      <c r="B63" s="28"/>
    </row>
    <row r="64" spans="1:2" x14ac:dyDescent="0.35">
      <c r="A64" s="28"/>
      <c r="B64" s="28"/>
    </row>
    <row r="65" spans="1:2" x14ac:dyDescent="0.35">
      <c r="A65" s="28"/>
      <c r="B65" s="28"/>
    </row>
    <row r="66" spans="1:2" x14ac:dyDescent="0.35">
      <c r="A66" s="28"/>
      <c r="B66" s="28"/>
    </row>
    <row r="67" spans="1:2" x14ac:dyDescent="0.35">
      <c r="A67" s="28"/>
      <c r="B67" s="28"/>
    </row>
    <row r="68" spans="1:2" x14ac:dyDescent="0.35">
      <c r="A68" s="28"/>
      <c r="B68" s="28"/>
    </row>
    <row r="69" spans="1:2" x14ac:dyDescent="0.35">
      <c r="A69" s="28"/>
      <c r="B69" s="28"/>
    </row>
    <row r="70" spans="1:2" x14ac:dyDescent="0.35">
      <c r="A70" s="28"/>
      <c r="B70" s="28"/>
    </row>
    <row r="71" spans="1:2" x14ac:dyDescent="0.35">
      <c r="A71" s="28"/>
      <c r="B71" s="28"/>
    </row>
    <row r="72" spans="1:2" x14ac:dyDescent="0.35">
      <c r="A72" s="28"/>
      <c r="B72" s="28"/>
    </row>
    <row r="73" spans="1:2" x14ac:dyDescent="0.35">
      <c r="A73" s="28"/>
      <c r="B73" s="28"/>
    </row>
    <row r="74" spans="1:2" x14ac:dyDescent="0.35">
      <c r="A74" s="28"/>
      <c r="B74" s="28"/>
    </row>
    <row r="75" spans="1:2" x14ac:dyDescent="0.35">
      <c r="A75" s="28"/>
      <c r="B75" s="28"/>
    </row>
    <row r="76" spans="1:2" x14ac:dyDescent="0.35">
      <c r="A76" s="28"/>
      <c r="B76" s="28"/>
    </row>
    <row r="77" spans="1:2" x14ac:dyDescent="0.35">
      <c r="A77" s="28"/>
      <c r="B77" s="28"/>
    </row>
    <row r="78" spans="1:2" x14ac:dyDescent="0.35">
      <c r="A78" s="28"/>
      <c r="B78" s="28"/>
    </row>
    <row r="79" spans="1:2" x14ac:dyDescent="0.35">
      <c r="A79" s="28"/>
      <c r="B79" s="28"/>
    </row>
    <row r="80" spans="1:2" x14ac:dyDescent="0.35">
      <c r="A80" s="28"/>
      <c r="B80" s="28"/>
    </row>
    <row r="81" spans="1:2" x14ac:dyDescent="0.35">
      <c r="A81" s="28"/>
      <c r="B81" s="28"/>
    </row>
    <row r="82" spans="1:2" x14ac:dyDescent="0.35">
      <c r="A82" s="28"/>
      <c r="B82" s="28"/>
    </row>
    <row r="83" spans="1:2" x14ac:dyDescent="0.35">
      <c r="A83" s="28"/>
      <c r="B83" s="28"/>
    </row>
    <row r="84" spans="1:2" x14ac:dyDescent="0.35">
      <c r="A84" s="28"/>
      <c r="B84" s="28"/>
    </row>
    <row r="85" spans="1:2" x14ac:dyDescent="0.35">
      <c r="A85" s="28"/>
      <c r="B85" s="28"/>
    </row>
    <row r="86" spans="1:2" x14ac:dyDescent="0.35">
      <c r="A86" s="28"/>
      <c r="B86" s="28"/>
    </row>
    <row r="87" spans="1:2" x14ac:dyDescent="0.35">
      <c r="A87" s="28"/>
      <c r="B87" s="28"/>
    </row>
    <row r="88" spans="1:2" x14ac:dyDescent="0.35">
      <c r="A88" s="28"/>
      <c r="B88" s="28"/>
    </row>
    <row r="89" spans="1:2" x14ac:dyDescent="0.35">
      <c r="A89" s="28"/>
      <c r="B89" s="28"/>
    </row>
    <row r="90" spans="1:2" x14ac:dyDescent="0.35">
      <c r="A90" s="28"/>
      <c r="B90" s="28"/>
    </row>
    <row r="91" spans="1:2" x14ac:dyDescent="0.35">
      <c r="A91" s="28"/>
      <c r="B91" s="28"/>
    </row>
    <row r="92" spans="1:2" x14ac:dyDescent="0.35">
      <c r="A92" s="28"/>
      <c r="B92" s="28"/>
    </row>
    <row r="93" spans="1:2" x14ac:dyDescent="0.35">
      <c r="A93" s="28"/>
      <c r="B93" s="28"/>
    </row>
    <row r="94" spans="1:2" x14ac:dyDescent="0.35">
      <c r="A94" s="28"/>
      <c r="B94" s="28"/>
    </row>
    <row r="95" spans="1:2" x14ac:dyDescent="0.35">
      <c r="A95" s="28"/>
      <c r="B95" s="28"/>
    </row>
    <row r="96" spans="1:2" x14ac:dyDescent="0.35">
      <c r="A96" s="28"/>
      <c r="B96" s="28"/>
    </row>
    <row r="97" spans="1:2" x14ac:dyDescent="0.35">
      <c r="A97" s="28"/>
      <c r="B97" s="28"/>
    </row>
    <row r="98" spans="1:2" x14ac:dyDescent="0.35">
      <c r="A98" s="28"/>
      <c r="B98" s="28"/>
    </row>
    <row r="99" spans="1:2" x14ac:dyDescent="0.35">
      <c r="A99" s="28"/>
      <c r="B99" s="28"/>
    </row>
    <row r="100" spans="1:2" x14ac:dyDescent="0.35">
      <c r="A100" s="28"/>
      <c r="B100" s="28"/>
    </row>
    <row r="101" spans="1:2" x14ac:dyDescent="0.35">
      <c r="A101" s="28"/>
      <c r="B101" s="28"/>
    </row>
    <row r="102" spans="1:2" x14ac:dyDescent="0.35">
      <c r="A102" s="28"/>
      <c r="B102" s="28"/>
    </row>
    <row r="103" spans="1:2" x14ac:dyDescent="0.35">
      <c r="A103" s="28"/>
      <c r="B103" s="28"/>
    </row>
    <row r="104" spans="1:2" x14ac:dyDescent="0.35">
      <c r="A104" s="28"/>
      <c r="B104" s="28"/>
    </row>
    <row r="105" spans="1:2" x14ac:dyDescent="0.35">
      <c r="A105" s="28"/>
      <c r="B105" s="28"/>
    </row>
    <row r="106" spans="1:2" x14ac:dyDescent="0.35">
      <c r="A106" s="28"/>
      <c r="B106" s="28"/>
    </row>
    <row r="107" spans="1:2" x14ac:dyDescent="0.35">
      <c r="A107" s="28"/>
      <c r="B107" s="28"/>
    </row>
    <row r="108" spans="1:2" x14ac:dyDescent="0.35">
      <c r="A108" s="28"/>
      <c r="B108" s="28"/>
    </row>
    <row r="109" spans="1:2" x14ac:dyDescent="0.35">
      <c r="A109" s="28"/>
      <c r="B109" s="28"/>
    </row>
    <row r="110" spans="1:2" x14ac:dyDescent="0.35">
      <c r="A110" s="28"/>
      <c r="B110" s="28"/>
    </row>
    <row r="111" spans="1:2" x14ac:dyDescent="0.35">
      <c r="A111" s="28"/>
      <c r="B111" s="28"/>
    </row>
    <row r="112" spans="1:2" x14ac:dyDescent="0.35">
      <c r="A112" s="28"/>
      <c r="B112" s="28"/>
    </row>
    <row r="113" spans="1:2" x14ac:dyDescent="0.35">
      <c r="A113" s="28"/>
      <c r="B113" s="28"/>
    </row>
    <row r="114" spans="1:2" x14ac:dyDescent="0.35">
      <c r="A114" s="28"/>
      <c r="B114" s="28"/>
    </row>
    <row r="115" spans="1:2" x14ac:dyDescent="0.35">
      <c r="A115" s="28"/>
      <c r="B115" s="28"/>
    </row>
    <row r="116" spans="1:2" x14ac:dyDescent="0.35">
      <c r="A116" s="28"/>
      <c r="B116" s="28"/>
    </row>
    <row r="117" spans="1:2" x14ac:dyDescent="0.35">
      <c r="A117" s="28"/>
      <c r="B117" s="28"/>
    </row>
    <row r="118" spans="1:2" x14ac:dyDescent="0.35">
      <c r="A118" s="28"/>
      <c r="B118" s="28"/>
    </row>
    <row r="119" spans="1:2" x14ac:dyDescent="0.35">
      <c r="A119" s="28"/>
      <c r="B119" s="28"/>
    </row>
    <row r="120" spans="1:2" x14ac:dyDescent="0.35">
      <c r="A120" s="28"/>
      <c r="B120" s="28"/>
    </row>
    <row r="121" spans="1:2" x14ac:dyDescent="0.35">
      <c r="A121" s="28"/>
      <c r="B121" s="28"/>
    </row>
    <row r="122" spans="1:2" x14ac:dyDescent="0.35">
      <c r="A122" s="28"/>
      <c r="B122" s="28"/>
    </row>
    <row r="123" spans="1:2" x14ac:dyDescent="0.35">
      <c r="A123" s="28"/>
      <c r="B123" s="28"/>
    </row>
    <row r="124" spans="1:2" x14ac:dyDescent="0.35">
      <c r="A124" s="28"/>
      <c r="B124" s="28"/>
    </row>
    <row r="125" spans="1:2" x14ac:dyDescent="0.35">
      <c r="A125" s="28"/>
      <c r="B125" s="28"/>
    </row>
    <row r="126" spans="1:2" x14ac:dyDescent="0.35">
      <c r="A126" s="28"/>
      <c r="B126" s="28"/>
    </row>
    <row r="127" spans="1:2" x14ac:dyDescent="0.35">
      <c r="A127" s="28"/>
      <c r="B127" s="28"/>
    </row>
    <row r="128" spans="1:2" x14ac:dyDescent="0.35">
      <c r="A128" s="28"/>
      <c r="B128" s="28"/>
    </row>
    <row r="129" spans="1:2" x14ac:dyDescent="0.35">
      <c r="A129" s="28"/>
      <c r="B129" s="28"/>
    </row>
    <row r="130" spans="1:2" x14ac:dyDescent="0.35">
      <c r="A130" s="28"/>
      <c r="B130" s="28"/>
    </row>
    <row r="131" spans="1:2" x14ac:dyDescent="0.35">
      <c r="A131" s="28"/>
      <c r="B131" s="28"/>
    </row>
    <row r="132" spans="1:2" x14ac:dyDescent="0.35">
      <c r="A132" s="28"/>
      <c r="B132" s="28"/>
    </row>
    <row r="133" spans="1:2" x14ac:dyDescent="0.35">
      <c r="A133" s="28"/>
      <c r="B133" s="28"/>
    </row>
    <row r="134" spans="1:2" x14ac:dyDescent="0.35">
      <c r="A134" s="28"/>
      <c r="B134" s="28"/>
    </row>
    <row r="135" spans="1:2" x14ac:dyDescent="0.35">
      <c r="A135" s="28"/>
      <c r="B135" s="28"/>
    </row>
    <row r="136" spans="1:2" x14ac:dyDescent="0.35">
      <c r="A136" s="28"/>
      <c r="B136" s="28"/>
    </row>
    <row r="137" spans="1:2" x14ac:dyDescent="0.35">
      <c r="A137" s="28"/>
      <c r="B137" s="28"/>
    </row>
    <row r="138" spans="1:2" x14ac:dyDescent="0.35">
      <c r="A138" s="28"/>
      <c r="B138" s="28"/>
    </row>
    <row r="139" spans="1:2" x14ac:dyDescent="0.35">
      <c r="A139" s="28"/>
      <c r="B139" s="28"/>
    </row>
    <row r="140" spans="1:2" x14ac:dyDescent="0.35">
      <c r="A140" s="28"/>
      <c r="B140" s="28"/>
    </row>
    <row r="141" spans="1:2" x14ac:dyDescent="0.35">
      <c r="A141" s="28"/>
      <c r="B141" s="28"/>
    </row>
    <row r="142" spans="1:2" x14ac:dyDescent="0.35">
      <c r="A142" s="28"/>
      <c r="B142" s="28"/>
    </row>
    <row r="143" spans="1:2" x14ac:dyDescent="0.35">
      <c r="A143" s="28"/>
      <c r="B143" s="28"/>
    </row>
    <row r="144" spans="1:2" x14ac:dyDescent="0.35">
      <c r="A144" s="28"/>
      <c r="B144" s="28"/>
    </row>
    <row r="145" spans="1:2" x14ac:dyDescent="0.35">
      <c r="A145" s="28"/>
      <c r="B145" s="28"/>
    </row>
    <row r="146" spans="1:2" x14ac:dyDescent="0.35">
      <c r="A146" s="28"/>
      <c r="B146" s="28"/>
    </row>
    <row r="147" spans="1:2" x14ac:dyDescent="0.35">
      <c r="A147" s="28"/>
      <c r="B147" s="28"/>
    </row>
    <row r="148" spans="1:2" x14ac:dyDescent="0.35">
      <c r="A148" s="28"/>
      <c r="B148" s="28"/>
    </row>
    <row r="149" spans="1:2" x14ac:dyDescent="0.35">
      <c r="A149" s="28"/>
      <c r="B149" s="28"/>
    </row>
    <row r="150" spans="1:2" x14ac:dyDescent="0.35">
      <c r="A150" s="28"/>
      <c r="B150" s="28"/>
    </row>
    <row r="151" spans="1:2" x14ac:dyDescent="0.35">
      <c r="A151" s="28"/>
      <c r="B151" s="28"/>
    </row>
    <row r="152" spans="1:2" x14ac:dyDescent="0.35">
      <c r="A152" s="28"/>
      <c r="B152" s="28"/>
    </row>
    <row r="153" spans="1:2" x14ac:dyDescent="0.35">
      <c r="A153" s="28"/>
      <c r="B153" s="28"/>
    </row>
    <row r="154" spans="1:2" x14ac:dyDescent="0.35">
      <c r="A154" s="28"/>
      <c r="B154" s="28"/>
    </row>
    <row r="155" spans="1:2" x14ac:dyDescent="0.35">
      <c r="A155" s="28"/>
      <c r="B155" s="28"/>
    </row>
    <row r="156" spans="1:2" x14ac:dyDescent="0.35">
      <c r="A156" s="28"/>
      <c r="B156" s="28"/>
    </row>
    <row r="157" spans="1:2" x14ac:dyDescent="0.35">
      <c r="A157" s="28"/>
      <c r="B157" s="28"/>
    </row>
    <row r="158" spans="1:2" x14ac:dyDescent="0.35">
      <c r="A158" s="28"/>
      <c r="B158" s="28"/>
    </row>
    <row r="159" spans="1:2" x14ac:dyDescent="0.35">
      <c r="A159" s="28"/>
      <c r="B159" s="28"/>
    </row>
    <row r="160" spans="1:2" x14ac:dyDescent="0.35">
      <c r="A160" s="28"/>
      <c r="B160" s="28"/>
    </row>
    <row r="161" spans="1:2" x14ac:dyDescent="0.35">
      <c r="A161" s="28"/>
      <c r="B161" s="28"/>
    </row>
    <row r="162" spans="1:2" x14ac:dyDescent="0.35">
      <c r="A162" s="28"/>
      <c r="B162" s="28"/>
    </row>
    <row r="163" spans="1:2" x14ac:dyDescent="0.35">
      <c r="A163" s="28"/>
      <c r="B163" s="28"/>
    </row>
    <row r="164" spans="1:2" x14ac:dyDescent="0.35">
      <c r="A164" s="28"/>
      <c r="B164" s="28"/>
    </row>
    <row r="165" spans="1:2" x14ac:dyDescent="0.35">
      <c r="A165" s="28"/>
      <c r="B165" s="28"/>
    </row>
    <row r="166" spans="1:2" x14ac:dyDescent="0.35">
      <c r="A166" s="28"/>
      <c r="B166" s="28"/>
    </row>
    <row r="167" spans="1:2" x14ac:dyDescent="0.35">
      <c r="A167" s="28"/>
      <c r="B167" s="28"/>
    </row>
    <row r="168" spans="1:2" x14ac:dyDescent="0.35">
      <c r="A168" s="28"/>
      <c r="B168" s="28"/>
    </row>
    <row r="169" spans="1:2" x14ac:dyDescent="0.35">
      <c r="A169" s="28"/>
      <c r="B169" s="28"/>
    </row>
    <row r="170" spans="1:2" x14ac:dyDescent="0.35">
      <c r="A170" s="28"/>
      <c r="B170" s="28"/>
    </row>
    <row r="171" spans="1:2" x14ac:dyDescent="0.35">
      <c r="A171" s="28"/>
      <c r="B171" s="28"/>
    </row>
    <row r="172" spans="1:2" x14ac:dyDescent="0.35">
      <c r="A172" s="28"/>
      <c r="B172" s="28"/>
    </row>
    <row r="173" spans="1:2" x14ac:dyDescent="0.35">
      <c r="A173" s="28"/>
      <c r="B173" s="28"/>
    </row>
    <row r="174" spans="1:2" x14ac:dyDescent="0.35">
      <c r="A174" s="28"/>
      <c r="B174" s="28"/>
    </row>
    <row r="175" spans="1:2" x14ac:dyDescent="0.35">
      <c r="A175" s="28"/>
      <c r="B175" s="28"/>
    </row>
    <row r="176" spans="1:2" x14ac:dyDescent="0.35">
      <c r="A176" s="28"/>
      <c r="B176" s="28"/>
    </row>
    <row r="177" spans="1:2" x14ac:dyDescent="0.35">
      <c r="A177" s="28"/>
      <c r="B177" s="28"/>
    </row>
    <row r="178" spans="1:2" x14ac:dyDescent="0.35">
      <c r="A178" s="28"/>
      <c r="B178" s="28"/>
    </row>
    <row r="179" spans="1:2" x14ac:dyDescent="0.35">
      <c r="A179" s="28"/>
      <c r="B179" s="28"/>
    </row>
    <row r="180" spans="1:2" x14ac:dyDescent="0.35">
      <c r="A180" s="28"/>
      <c r="B180" s="28"/>
    </row>
    <row r="181" spans="1:2" x14ac:dyDescent="0.35">
      <c r="A181" s="28"/>
      <c r="B181" s="28"/>
    </row>
    <row r="182" spans="1:2" x14ac:dyDescent="0.35">
      <c r="A182" s="28"/>
      <c r="B182" s="28"/>
    </row>
    <row r="183" spans="1:2" x14ac:dyDescent="0.35">
      <c r="A183" s="28"/>
      <c r="B183" s="28"/>
    </row>
    <row r="184" spans="1:2" x14ac:dyDescent="0.35">
      <c r="A184" s="28"/>
      <c r="B184" s="28"/>
    </row>
    <row r="185" spans="1:2" x14ac:dyDescent="0.35">
      <c r="A185" s="28"/>
      <c r="B185" s="28"/>
    </row>
    <row r="186" spans="1:2" x14ac:dyDescent="0.35">
      <c r="A186" s="28"/>
      <c r="B186" s="28"/>
    </row>
    <row r="187" spans="1:2" x14ac:dyDescent="0.35">
      <c r="A187" s="28"/>
      <c r="B187" s="28"/>
    </row>
    <row r="188" spans="1:2" x14ac:dyDescent="0.35">
      <c r="A188" s="28"/>
      <c r="B188" s="28"/>
    </row>
    <row r="189" spans="1:2" x14ac:dyDescent="0.35">
      <c r="A189" s="28"/>
      <c r="B189" s="28"/>
    </row>
    <row r="190" spans="1:2" x14ac:dyDescent="0.35">
      <c r="A190" s="28"/>
      <c r="B190" s="28"/>
    </row>
    <row r="191" spans="1:2" x14ac:dyDescent="0.35">
      <c r="A191" s="28"/>
      <c r="B191" s="28"/>
    </row>
    <row r="192" spans="1:2" x14ac:dyDescent="0.35">
      <c r="A192" s="28"/>
      <c r="B192" s="28"/>
    </row>
    <row r="193" spans="1:2" x14ac:dyDescent="0.35">
      <c r="A193" s="28"/>
      <c r="B193" s="28"/>
    </row>
    <row r="194" spans="1:2" x14ac:dyDescent="0.35">
      <c r="A194" s="28"/>
      <c r="B194" s="28"/>
    </row>
    <row r="195" spans="1:2" x14ac:dyDescent="0.35">
      <c r="A195" s="28"/>
      <c r="B195" s="28"/>
    </row>
    <row r="196" spans="1:2" x14ac:dyDescent="0.35">
      <c r="A196" s="28"/>
      <c r="B196" s="28"/>
    </row>
    <row r="197" spans="1:2" x14ac:dyDescent="0.35">
      <c r="A197" s="28"/>
      <c r="B197" s="28"/>
    </row>
    <row r="198" spans="1:2" x14ac:dyDescent="0.35">
      <c r="A198" s="28"/>
      <c r="B198" s="28"/>
    </row>
    <row r="199" spans="1:2" x14ac:dyDescent="0.35">
      <c r="A199" s="28"/>
      <c r="B199" s="28"/>
    </row>
    <row r="200" spans="1:2" x14ac:dyDescent="0.35">
      <c r="A200" s="28"/>
      <c r="B200" s="28"/>
    </row>
    <row r="201" spans="1:2" x14ac:dyDescent="0.35">
      <c r="A201" s="28"/>
      <c r="B201" s="28"/>
    </row>
    <row r="202" spans="1:2" x14ac:dyDescent="0.35">
      <c r="A202" s="28"/>
      <c r="B202" s="28"/>
    </row>
    <row r="203" spans="1:2" x14ac:dyDescent="0.35">
      <c r="A203" s="28"/>
      <c r="B203" s="28"/>
    </row>
    <row r="204" spans="1:2" x14ac:dyDescent="0.35">
      <c r="A204" s="28"/>
      <c r="B204" s="28"/>
    </row>
    <row r="205" spans="1:2" x14ac:dyDescent="0.35">
      <c r="A205" s="28"/>
      <c r="B205" s="28"/>
    </row>
    <row r="206" spans="1:2" x14ac:dyDescent="0.35">
      <c r="A206" s="28"/>
      <c r="B206" s="28"/>
    </row>
    <row r="207" spans="1:2" x14ac:dyDescent="0.35">
      <c r="A207" s="28"/>
      <c r="B207" s="28"/>
    </row>
    <row r="208" spans="1:2" x14ac:dyDescent="0.35">
      <c r="A208" s="28"/>
      <c r="B208" s="28"/>
    </row>
    <row r="209" spans="1:2" x14ac:dyDescent="0.35">
      <c r="A209" s="28"/>
      <c r="B209" s="28"/>
    </row>
    <row r="210" spans="1:2" x14ac:dyDescent="0.35">
      <c r="A210" s="28"/>
      <c r="B210" s="28"/>
    </row>
    <row r="211" spans="1:2" x14ac:dyDescent="0.35">
      <c r="A211" s="28"/>
      <c r="B211" s="28"/>
    </row>
    <row r="212" spans="1:2" x14ac:dyDescent="0.35">
      <c r="A212" s="28"/>
      <c r="B212" s="28"/>
    </row>
    <row r="213" spans="1:2" x14ac:dyDescent="0.35">
      <c r="A213" s="28"/>
      <c r="B213" s="28"/>
    </row>
    <row r="214" spans="1:2" x14ac:dyDescent="0.35">
      <c r="A214" s="28"/>
      <c r="B214" s="28"/>
    </row>
    <row r="215" spans="1:2" x14ac:dyDescent="0.35">
      <c r="A215" s="28"/>
      <c r="B215" s="28"/>
    </row>
    <row r="216" spans="1:2" x14ac:dyDescent="0.35">
      <c r="A216" s="28"/>
      <c r="B216" s="28"/>
    </row>
    <row r="217" spans="1:2" x14ac:dyDescent="0.35">
      <c r="A217" s="28"/>
      <c r="B217" s="28"/>
    </row>
    <row r="218" spans="1:2" x14ac:dyDescent="0.35">
      <c r="A218" s="28"/>
      <c r="B218" s="28"/>
    </row>
    <row r="219" spans="1:2" x14ac:dyDescent="0.35">
      <c r="A219" s="28"/>
      <c r="B219" s="28"/>
    </row>
    <row r="220" spans="1:2" x14ac:dyDescent="0.35">
      <c r="A220" s="28"/>
      <c r="B220" s="28"/>
    </row>
    <row r="221" spans="1:2" x14ac:dyDescent="0.35">
      <c r="A221" s="28"/>
      <c r="B221" s="28"/>
    </row>
    <row r="222" spans="1:2" x14ac:dyDescent="0.35">
      <c r="A222" s="28"/>
      <c r="B222" s="28"/>
    </row>
    <row r="223" spans="1:2" x14ac:dyDescent="0.35">
      <c r="A223" s="28"/>
      <c r="B223" s="28"/>
    </row>
    <row r="224" spans="1:2" x14ac:dyDescent="0.35">
      <c r="A224" s="28"/>
      <c r="B224" s="28"/>
    </row>
    <row r="225" spans="1:2" x14ac:dyDescent="0.35">
      <c r="A225" s="28"/>
      <c r="B225" s="28"/>
    </row>
    <row r="226" spans="1:2" x14ac:dyDescent="0.35">
      <c r="A226" s="28"/>
      <c r="B226" s="28"/>
    </row>
    <row r="227" spans="1:2" x14ac:dyDescent="0.35">
      <c r="A227" s="28"/>
      <c r="B227" s="28"/>
    </row>
    <row r="228" spans="1:2" x14ac:dyDescent="0.35">
      <c r="A228" s="28"/>
      <c r="B228" s="28"/>
    </row>
    <row r="229" spans="1:2" x14ac:dyDescent="0.35">
      <c r="A229" s="28"/>
      <c r="B229" s="28"/>
    </row>
    <row r="230" spans="1:2" x14ac:dyDescent="0.35">
      <c r="A230" s="28"/>
      <c r="B230" s="28"/>
    </row>
    <row r="231" spans="1:2" x14ac:dyDescent="0.35">
      <c r="A231" s="28"/>
      <c r="B231" s="28"/>
    </row>
    <row r="232" spans="1:2" x14ac:dyDescent="0.35">
      <c r="A232" s="28"/>
      <c r="B232" s="28"/>
    </row>
    <row r="233" spans="1:2" x14ac:dyDescent="0.35">
      <c r="A233" s="28"/>
      <c r="B233" s="28"/>
    </row>
    <row r="234" spans="1:2" x14ac:dyDescent="0.35">
      <c r="A234" s="28"/>
      <c r="B234" s="28"/>
    </row>
    <row r="235" spans="1:2" x14ac:dyDescent="0.35">
      <c r="A235" s="28"/>
      <c r="B235" s="28"/>
    </row>
    <row r="236" spans="1:2" x14ac:dyDescent="0.35">
      <c r="A236" s="28"/>
      <c r="B236" s="28"/>
    </row>
    <row r="237" spans="1:2" x14ac:dyDescent="0.35">
      <c r="A237" s="28"/>
      <c r="B237" s="28"/>
    </row>
    <row r="238" spans="1:2" x14ac:dyDescent="0.35">
      <c r="A238" s="28"/>
      <c r="B238" s="28"/>
    </row>
    <row r="239" spans="1:2" x14ac:dyDescent="0.35">
      <c r="A239" s="28"/>
      <c r="B239" s="28"/>
    </row>
    <row r="240" spans="1:2" x14ac:dyDescent="0.35">
      <c r="A240" s="28"/>
      <c r="B240" s="28"/>
    </row>
    <row r="241" spans="1:2" x14ac:dyDescent="0.35">
      <c r="A241" s="28"/>
      <c r="B241" s="28"/>
    </row>
    <row r="242" spans="1:2" x14ac:dyDescent="0.35">
      <c r="A242" s="28"/>
      <c r="B242" s="28"/>
    </row>
    <row r="243" spans="1:2" x14ac:dyDescent="0.35">
      <c r="A243" s="28"/>
      <c r="B243" s="28"/>
    </row>
    <row r="244" spans="1:2" x14ac:dyDescent="0.35">
      <c r="A244" s="28"/>
      <c r="B244" s="28"/>
    </row>
    <row r="245" spans="1:2" x14ac:dyDescent="0.35">
      <c r="A245" s="28"/>
      <c r="B245" s="28"/>
    </row>
    <row r="246" spans="1:2" x14ac:dyDescent="0.35">
      <c r="A246" s="28"/>
      <c r="B246" s="28"/>
    </row>
    <row r="247" spans="1:2" x14ac:dyDescent="0.35">
      <c r="A247" s="28"/>
      <c r="B247" s="28"/>
    </row>
    <row r="248" spans="1:2" x14ac:dyDescent="0.35">
      <c r="A248" s="28"/>
      <c r="B248" s="28"/>
    </row>
    <row r="249" spans="1:2" x14ac:dyDescent="0.35">
      <c r="A249" s="28"/>
      <c r="B249" s="28"/>
    </row>
    <row r="250" spans="1:2" x14ac:dyDescent="0.35">
      <c r="A250" s="28"/>
      <c r="B250" s="28"/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8.7265625" style="29"/>
    <col min="3" max="3" width="16.7265625" style="5" bestFit="1" customWidth="1"/>
    <col min="4" max="4" width="15.81640625" style="5" bestFit="1" customWidth="1"/>
    <col min="5" max="5" width="20.6328125" style="8" bestFit="1" customWidth="1"/>
    <col min="6" max="6" width="24.6328125" style="8" bestFit="1" customWidth="1"/>
    <col min="7" max="16384" width="8.7265625" style="5"/>
  </cols>
  <sheetData>
    <row r="1" spans="1:6" s="18" customFormat="1" ht="20" customHeight="1" x14ac:dyDescent="0.35">
      <c r="A1" s="29"/>
      <c r="B1" s="29"/>
      <c r="C1" s="17" t="s">
        <v>14</v>
      </c>
      <c r="D1" s="17" t="s">
        <v>15</v>
      </c>
      <c r="E1" s="19" t="s">
        <v>26</v>
      </c>
      <c r="F1" s="19" t="s">
        <v>27</v>
      </c>
    </row>
    <row r="2" spans="1:6" x14ac:dyDescent="0.35">
      <c r="C2" s="5" t="s">
        <v>21</v>
      </c>
      <c r="D2" s="5" t="s">
        <v>22</v>
      </c>
      <c r="E2" s="8">
        <f>COUNTIF(Sales!E:E,C2)</f>
        <v>1</v>
      </c>
      <c r="F2" s="8">
        <f>SUMIF(Sales!E:E,C2,Sales!K:K)</f>
        <v>2100</v>
      </c>
    </row>
  </sheetData>
  <sheetProtection algorithmName="SHA-512" hashValue="c19n0EqeiYyjzWYKJNzouqzGJqaz0QX86NvXobXcGfZnnJm9iucE+FzFRNAGvdoJ3lkskCyc5l0n9CfawBOI3A==" saltValue="QWsXWhC+uG3Hlj/sfzdN4w==" spinCount="100000" sheet="1" objects="1" scenarios="1"/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CD6C-4611-4DFC-A4CE-5753B18CB416}">
  <sheetPr>
    <tabColor theme="4"/>
  </sheetPr>
  <dimension ref="A1:F17"/>
  <sheetViews>
    <sheetView zoomScaleNormal="100" workbookViewId="0"/>
  </sheetViews>
  <sheetFormatPr defaultRowHeight="14.5" x14ac:dyDescent="0.35"/>
  <cols>
    <col min="1" max="1" width="8.7265625" style="27"/>
    <col min="2" max="2" width="5.81640625" style="27" customWidth="1"/>
    <col min="4" max="4" width="9.6328125" customWidth="1"/>
  </cols>
  <sheetData>
    <row r="1" spans="1:6" x14ac:dyDescent="0.35">
      <c r="A1" s="28"/>
      <c r="B1" s="28"/>
    </row>
    <row r="2" spans="1:6" x14ac:dyDescent="0.35">
      <c r="A2" s="28"/>
      <c r="B2" s="28"/>
    </row>
    <row r="3" spans="1:6" x14ac:dyDescent="0.35">
      <c r="A3" s="28"/>
      <c r="B3" s="28"/>
    </row>
    <row r="4" spans="1:6" x14ac:dyDescent="0.35">
      <c r="A4" s="28"/>
      <c r="B4" s="28"/>
    </row>
    <row r="5" spans="1:6" x14ac:dyDescent="0.35">
      <c r="A5" s="28"/>
      <c r="B5" s="28"/>
    </row>
    <row r="6" spans="1:6" x14ac:dyDescent="0.35">
      <c r="A6" s="28"/>
      <c r="B6" s="28"/>
      <c r="E6" t="s">
        <v>28</v>
      </c>
      <c r="F6" t="s">
        <v>29</v>
      </c>
    </row>
    <row r="7" spans="1:6" x14ac:dyDescent="0.35">
      <c r="A7" s="28"/>
      <c r="B7" s="28"/>
      <c r="E7" t="s">
        <v>30</v>
      </c>
      <c r="F7">
        <v>0</v>
      </c>
    </row>
    <row r="8" spans="1:6" x14ac:dyDescent="0.35">
      <c r="A8" s="28"/>
      <c r="B8" s="28"/>
      <c r="E8" t="s">
        <v>31</v>
      </c>
      <c r="F8">
        <v>1</v>
      </c>
    </row>
    <row r="9" spans="1:6" x14ac:dyDescent="0.35">
      <c r="A9" s="28"/>
      <c r="B9" s="28"/>
      <c r="E9" t="s">
        <v>32</v>
      </c>
      <c r="F9">
        <v>2</v>
      </c>
    </row>
    <row r="10" spans="1:6" x14ac:dyDescent="0.35">
      <c r="A10" s="28"/>
      <c r="B10" s="28"/>
      <c r="E10" t="s">
        <v>33</v>
      </c>
      <c r="F10">
        <v>3</v>
      </c>
    </row>
    <row r="11" spans="1:6" x14ac:dyDescent="0.35">
      <c r="A11" s="28"/>
      <c r="B11" s="28"/>
      <c r="E11" t="s">
        <v>34</v>
      </c>
      <c r="F11">
        <v>4</v>
      </c>
    </row>
    <row r="12" spans="1:6" x14ac:dyDescent="0.35">
      <c r="A12" s="28"/>
      <c r="B12" s="28"/>
      <c r="E12" t="s">
        <v>35</v>
      </c>
      <c r="F12">
        <v>5</v>
      </c>
    </row>
    <row r="13" spans="1:6" x14ac:dyDescent="0.35">
      <c r="A13" s="28"/>
      <c r="B13" s="28"/>
      <c r="E13" t="s">
        <v>36</v>
      </c>
      <c r="F13">
        <v>6</v>
      </c>
    </row>
    <row r="14" spans="1:6" x14ac:dyDescent="0.35">
      <c r="A14" s="28"/>
      <c r="B14" s="28"/>
      <c r="E14" t="s">
        <v>289</v>
      </c>
      <c r="F14">
        <v>7</v>
      </c>
    </row>
    <row r="15" spans="1:6" x14ac:dyDescent="0.35">
      <c r="A15" s="28"/>
      <c r="B15" s="28"/>
      <c r="E15" t="s">
        <v>37</v>
      </c>
      <c r="F15">
        <v>8</v>
      </c>
    </row>
    <row r="16" spans="1:6" x14ac:dyDescent="0.35">
      <c r="A16" s="28"/>
      <c r="B16" s="28"/>
      <c r="E16" t="s">
        <v>38</v>
      </c>
      <c r="F16">
        <v>9</v>
      </c>
    </row>
    <row r="17" spans="1:2" x14ac:dyDescent="0.35">
      <c r="A17" s="28"/>
      <c r="B17" s="28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Purchase</vt:lpstr>
      <vt:lpstr>Inventory</vt:lpstr>
      <vt:lpstr>Sales</vt:lpstr>
      <vt:lpstr>Operating Expenses</vt:lpstr>
      <vt:lpstr>Customer Summary</vt:lpstr>
      <vt:lpstr>CodeKey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Tahmidul mawla</cp:lastModifiedBy>
  <dcterms:created xsi:type="dcterms:W3CDTF">2026-06-17T13:31:47Z</dcterms:created>
  <dcterms:modified xsi:type="dcterms:W3CDTF">2026-06-22T12:19:09Z</dcterms:modified>
</cp:coreProperties>
</file>